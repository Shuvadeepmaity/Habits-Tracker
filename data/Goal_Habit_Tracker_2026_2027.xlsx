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uvadeep\Documents\"/>
    </mc:Choice>
  </mc:AlternateContent>
  <xr:revisionPtr revIDLastSave="0" documentId="13_ncr:1_{556F3998-425D-4877-8B33-F2AED466C0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Daily Tracker" sheetId="2" r:id="rId2"/>
    <sheet name="Weekly Review" sheetId="3" r:id="rId3"/>
    <sheet name="Monthly Goals" sheetId="4" r:id="rId4"/>
    <sheet name="Instructions" sheetId="5" r:id="rId5"/>
  </sheets>
  <definedNames>
    <definedName name="_xlnm._FilterDatabase" localSheetId="1" hidden="1">'Daily Tracker'!$A$1:$O$366</definedName>
    <definedName name="_xlnm._FilterDatabase" localSheetId="0" hidden="1">Dashboard!$A$1:$B$12</definedName>
    <definedName name="_xlnm._FilterDatabase" localSheetId="3" hidden="1">'Monthly Goals'!$A$1:$R$13</definedName>
    <definedName name="_xlnm._FilterDatabase" localSheetId="2" hidden="1">'Weekly Review'!$A$1:$L$53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4" l="1"/>
  <c r="Q13" i="4" s="1"/>
  <c r="P12" i="4"/>
  <c r="Q12" i="4" s="1"/>
  <c r="P11" i="4"/>
  <c r="Q11" i="4" s="1"/>
  <c r="P10" i="4"/>
  <c r="Q10" i="4" s="1"/>
  <c r="P9" i="4"/>
  <c r="Q9" i="4" s="1"/>
  <c r="P8" i="4"/>
  <c r="Q8" i="4" s="1"/>
  <c r="P7" i="4"/>
  <c r="Q7" i="4" s="1"/>
  <c r="P6" i="4"/>
  <c r="Q6" i="4" s="1"/>
  <c r="P5" i="4"/>
  <c r="Q5" i="4" s="1"/>
  <c r="P4" i="4"/>
  <c r="Q4" i="4" s="1"/>
  <c r="P3" i="4"/>
  <c r="Q3" i="4" s="1"/>
  <c r="P2" i="4"/>
  <c r="Q2" i="4" s="1"/>
  <c r="B5" i="1" s="1"/>
  <c r="F53" i="3"/>
  <c r="E53" i="3"/>
  <c r="D53" i="3"/>
  <c r="C53" i="3"/>
  <c r="F52" i="3"/>
  <c r="E52" i="3"/>
  <c r="D52" i="3"/>
  <c r="C52" i="3"/>
  <c r="F51" i="3"/>
  <c r="E51" i="3"/>
  <c r="D51" i="3"/>
  <c r="C51" i="3"/>
  <c r="H50" i="3"/>
  <c r="I50" i="3" s="1"/>
  <c r="F50" i="3"/>
  <c r="E50" i="3"/>
  <c r="D50" i="3"/>
  <c r="C50" i="3"/>
  <c r="H49" i="3"/>
  <c r="I49" i="3" s="1"/>
  <c r="F49" i="3"/>
  <c r="E49" i="3"/>
  <c r="D49" i="3"/>
  <c r="C49" i="3"/>
  <c r="H48" i="3"/>
  <c r="I48" i="3" s="1"/>
  <c r="F48" i="3"/>
  <c r="E48" i="3"/>
  <c r="D48" i="3"/>
  <c r="C48" i="3"/>
  <c r="H47" i="3"/>
  <c r="I47" i="3" s="1"/>
  <c r="F47" i="3"/>
  <c r="E47" i="3"/>
  <c r="D47" i="3"/>
  <c r="C47" i="3"/>
  <c r="H46" i="3"/>
  <c r="I46" i="3" s="1"/>
  <c r="F46" i="3"/>
  <c r="E46" i="3"/>
  <c r="D46" i="3"/>
  <c r="C46" i="3"/>
  <c r="H45" i="3"/>
  <c r="I45" i="3" s="1"/>
  <c r="F45" i="3"/>
  <c r="E45" i="3"/>
  <c r="D45" i="3"/>
  <c r="C45" i="3"/>
  <c r="H44" i="3"/>
  <c r="I44" i="3" s="1"/>
  <c r="F44" i="3"/>
  <c r="E44" i="3"/>
  <c r="D44" i="3"/>
  <c r="C44" i="3"/>
  <c r="H43" i="3"/>
  <c r="I43" i="3" s="1"/>
  <c r="F43" i="3"/>
  <c r="E43" i="3"/>
  <c r="D43" i="3"/>
  <c r="C43" i="3"/>
  <c r="H42" i="3"/>
  <c r="I42" i="3" s="1"/>
  <c r="F42" i="3"/>
  <c r="E42" i="3"/>
  <c r="D42" i="3"/>
  <c r="C42" i="3"/>
  <c r="H41" i="3"/>
  <c r="I41" i="3" s="1"/>
  <c r="F41" i="3"/>
  <c r="E41" i="3"/>
  <c r="D41" i="3"/>
  <c r="C41" i="3"/>
  <c r="H40" i="3"/>
  <c r="I40" i="3" s="1"/>
  <c r="F40" i="3"/>
  <c r="E40" i="3"/>
  <c r="D40" i="3"/>
  <c r="C40" i="3"/>
  <c r="H39" i="3"/>
  <c r="I39" i="3" s="1"/>
  <c r="F39" i="3"/>
  <c r="E39" i="3"/>
  <c r="D39" i="3"/>
  <c r="C39" i="3"/>
  <c r="H38" i="3"/>
  <c r="I38" i="3" s="1"/>
  <c r="F38" i="3"/>
  <c r="E38" i="3"/>
  <c r="D38" i="3"/>
  <c r="C38" i="3"/>
  <c r="H37" i="3"/>
  <c r="I37" i="3" s="1"/>
  <c r="F37" i="3"/>
  <c r="E37" i="3"/>
  <c r="D37" i="3"/>
  <c r="C37" i="3"/>
  <c r="H36" i="3"/>
  <c r="I36" i="3" s="1"/>
  <c r="F36" i="3"/>
  <c r="E36" i="3"/>
  <c r="D36" i="3"/>
  <c r="C36" i="3"/>
  <c r="H35" i="3"/>
  <c r="I35" i="3" s="1"/>
  <c r="F35" i="3"/>
  <c r="E35" i="3"/>
  <c r="D35" i="3"/>
  <c r="C35" i="3"/>
  <c r="H34" i="3"/>
  <c r="I34" i="3" s="1"/>
  <c r="F34" i="3"/>
  <c r="E34" i="3"/>
  <c r="D34" i="3"/>
  <c r="C34" i="3"/>
  <c r="H33" i="3"/>
  <c r="I33" i="3" s="1"/>
  <c r="F33" i="3"/>
  <c r="E33" i="3"/>
  <c r="D33" i="3"/>
  <c r="C33" i="3"/>
  <c r="H32" i="3"/>
  <c r="I32" i="3" s="1"/>
  <c r="F32" i="3"/>
  <c r="E32" i="3"/>
  <c r="D32" i="3"/>
  <c r="C32" i="3"/>
  <c r="H31" i="3"/>
  <c r="I31" i="3" s="1"/>
  <c r="F31" i="3"/>
  <c r="E31" i="3"/>
  <c r="D31" i="3"/>
  <c r="C31" i="3"/>
  <c r="H30" i="3"/>
  <c r="I30" i="3" s="1"/>
  <c r="F30" i="3"/>
  <c r="E30" i="3"/>
  <c r="D30" i="3"/>
  <c r="C30" i="3"/>
  <c r="H29" i="3"/>
  <c r="I29" i="3" s="1"/>
  <c r="F29" i="3"/>
  <c r="E29" i="3"/>
  <c r="D29" i="3"/>
  <c r="C29" i="3"/>
  <c r="H28" i="3"/>
  <c r="I28" i="3" s="1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7" i="3"/>
  <c r="E17" i="3"/>
  <c r="D17" i="3"/>
  <c r="C17" i="3"/>
  <c r="H16" i="3"/>
  <c r="I16" i="3" s="1"/>
  <c r="F16" i="3"/>
  <c r="E16" i="3"/>
  <c r="D16" i="3"/>
  <c r="C16" i="3"/>
  <c r="F15" i="3"/>
  <c r="E15" i="3"/>
  <c r="D15" i="3"/>
  <c r="C15" i="3"/>
  <c r="H14" i="3"/>
  <c r="I14" i="3" s="1"/>
  <c r="F14" i="3"/>
  <c r="E14" i="3"/>
  <c r="D14" i="3"/>
  <c r="C14" i="3"/>
  <c r="H13" i="3"/>
  <c r="I13" i="3" s="1"/>
  <c r="F13" i="3"/>
  <c r="E13" i="3"/>
  <c r="D13" i="3"/>
  <c r="C13" i="3"/>
  <c r="H12" i="3"/>
  <c r="I12" i="3" s="1"/>
  <c r="F12" i="3"/>
  <c r="E12" i="3"/>
  <c r="D12" i="3"/>
  <c r="C12" i="3"/>
  <c r="H11" i="3"/>
  <c r="I11" i="3" s="1"/>
  <c r="F11" i="3"/>
  <c r="E11" i="3"/>
  <c r="D11" i="3"/>
  <c r="C11" i="3"/>
  <c r="H10" i="3"/>
  <c r="I10" i="3" s="1"/>
  <c r="F10" i="3"/>
  <c r="E10" i="3"/>
  <c r="D10" i="3"/>
  <c r="C10" i="3"/>
  <c r="H9" i="3"/>
  <c r="I9" i="3" s="1"/>
  <c r="F9" i="3"/>
  <c r="E9" i="3"/>
  <c r="D9" i="3"/>
  <c r="C9" i="3"/>
  <c r="H8" i="3"/>
  <c r="I8" i="3" s="1"/>
  <c r="F8" i="3"/>
  <c r="E8" i="3"/>
  <c r="D8" i="3"/>
  <c r="C8" i="3"/>
  <c r="H7" i="3"/>
  <c r="I7" i="3" s="1"/>
  <c r="F7" i="3"/>
  <c r="E7" i="3"/>
  <c r="D7" i="3"/>
  <c r="C7" i="3"/>
  <c r="H6" i="3"/>
  <c r="I6" i="3" s="1"/>
  <c r="F6" i="3"/>
  <c r="E6" i="3"/>
  <c r="D6" i="3"/>
  <c r="C6" i="3"/>
  <c r="H5" i="3"/>
  <c r="I5" i="3" s="1"/>
  <c r="F5" i="3"/>
  <c r="E5" i="3"/>
  <c r="D5" i="3"/>
  <c r="C5" i="3"/>
  <c r="H4" i="3"/>
  <c r="I4" i="3" s="1"/>
  <c r="F4" i="3"/>
  <c r="E4" i="3"/>
  <c r="D4" i="3"/>
  <c r="C4" i="3"/>
  <c r="H3" i="3"/>
  <c r="I3" i="3" s="1"/>
  <c r="F3" i="3"/>
  <c r="E3" i="3"/>
  <c r="D3" i="3"/>
  <c r="C3" i="3"/>
  <c r="F2" i="3"/>
  <c r="E2" i="3"/>
  <c r="D2" i="3"/>
  <c r="C2" i="3"/>
  <c r="N366" i="2"/>
  <c r="N365" i="2"/>
  <c r="N364" i="2"/>
  <c r="N363" i="2"/>
  <c r="N362" i="2"/>
  <c r="N361" i="2"/>
  <c r="N360" i="2"/>
  <c r="N359" i="2"/>
  <c r="H53" i="3" s="1"/>
  <c r="I53" i="3" s="1"/>
  <c r="N358" i="2"/>
  <c r="N357" i="2"/>
  <c r="N356" i="2"/>
  <c r="N355" i="2"/>
  <c r="N354" i="2"/>
  <c r="N353" i="2"/>
  <c r="N352" i="2"/>
  <c r="H52" i="3" s="1"/>
  <c r="I52" i="3" s="1"/>
  <c r="N351" i="2"/>
  <c r="H51" i="3" s="1"/>
  <c r="I51" i="3" s="1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H27" i="3" s="1"/>
  <c r="I27" i="3" s="1"/>
  <c r="N176" i="2"/>
  <c r="N175" i="2"/>
  <c r="N174" i="2"/>
  <c r="N173" i="2"/>
  <c r="N172" i="2"/>
  <c r="N171" i="2"/>
  <c r="N170" i="2"/>
  <c r="H26" i="3" s="1"/>
  <c r="I26" i="3" s="1"/>
  <c r="N169" i="2"/>
  <c r="N168" i="2"/>
  <c r="N167" i="2"/>
  <c r="N166" i="2"/>
  <c r="N165" i="2"/>
  <c r="N164" i="2"/>
  <c r="N163" i="2"/>
  <c r="H25" i="3" s="1"/>
  <c r="I25" i="3" s="1"/>
  <c r="N162" i="2"/>
  <c r="N161" i="2"/>
  <c r="N160" i="2"/>
  <c r="N159" i="2"/>
  <c r="N158" i="2"/>
  <c r="N157" i="2"/>
  <c r="N156" i="2"/>
  <c r="H24" i="3" s="1"/>
  <c r="I24" i="3" s="1"/>
  <c r="N155" i="2"/>
  <c r="N154" i="2"/>
  <c r="N153" i="2"/>
  <c r="N152" i="2"/>
  <c r="N151" i="2"/>
  <c r="N150" i="2"/>
  <c r="N149" i="2"/>
  <c r="H23" i="3" s="1"/>
  <c r="I23" i="3" s="1"/>
  <c r="N148" i="2"/>
  <c r="N147" i="2"/>
  <c r="N146" i="2"/>
  <c r="N145" i="2"/>
  <c r="N144" i="2"/>
  <c r="N143" i="2"/>
  <c r="N142" i="2"/>
  <c r="H22" i="3" s="1"/>
  <c r="I22" i="3" s="1"/>
  <c r="N141" i="2"/>
  <c r="N140" i="2"/>
  <c r="N139" i="2"/>
  <c r="N138" i="2"/>
  <c r="N137" i="2"/>
  <c r="N136" i="2"/>
  <c r="N135" i="2"/>
  <c r="H21" i="3" s="1"/>
  <c r="I21" i="3" s="1"/>
  <c r="N134" i="2"/>
  <c r="N133" i="2"/>
  <c r="N132" i="2"/>
  <c r="N131" i="2"/>
  <c r="N130" i="2"/>
  <c r="N129" i="2"/>
  <c r="N128" i="2"/>
  <c r="H20" i="3" s="1"/>
  <c r="I20" i="3" s="1"/>
  <c r="N127" i="2"/>
  <c r="N126" i="2"/>
  <c r="N125" i="2"/>
  <c r="N124" i="2"/>
  <c r="N123" i="2"/>
  <c r="N122" i="2"/>
  <c r="N121" i="2"/>
  <c r="H19" i="3" s="1"/>
  <c r="I19" i="3" s="1"/>
  <c r="N120" i="2"/>
  <c r="N119" i="2"/>
  <c r="N118" i="2"/>
  <c r="N117" i="2"/>
  <c r="N116" i="2"/>
  <c r="N115" i="2"/>
  <c r="N114" i="2"/>
  <c r="H18" i="3" s="1"/>
  <c r="I18" i="3" s="1"/>
  <c r="N113" i="2"/>
  <c r="N112" i="2"/>
  <c r="N111" i="2"/>
  <c r="N110" i="2"/>
  <c r="N109" i="2"/>
  <c r="N108" i="2"/>
  <c r="N107" i="2"/>
  <c r="H17" i="3" s="1"/>
  <c r="I17" i="3" s="1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H15" i="3" s="1"/>
  <c r="I15" i="3" s="1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H2" i="3" l="1"/>
  <c r="I2" i="3" s="1"/>
  <c r="B4" i="1" s="1"/>
  <c r="B3" i="1"/>
</calcChain>
</file>

<file path=xl/sharedStrings.xml><?xml version="1.0" encoding="utf-8"?>
<sst xmlns="http://schemas.openxmlformats.org/spreadsheetml/2006/main" count="532" uniqueCount="130">
  <si>
    <t>24-Month Goal &amp; Habit Dashboard</t>
  </si>
  <si>
    <t>Daily habit consistency</t>
  </si>
  <si>
    <t>Weekly average score</t>
  </si>
  <si>
    <t>Monthly average score</t>
  </si>
  <si>
    <t>Core 24-month goals</t>
  </si>
  <si>
    <t>Career</t>
  </si>
  <si>
    <t>Move toward AI/ML / Data Engineering role</t>
  </si>
  <si>
    <t>Skills</t>
  </si>
  <si>
    <t>Build strong Python, SQL, ML, GenAI, RAG, MLOps &amp; Cloud skills</t>
  </si>
  <si>
    <t>Fitness</t>
  </si>
  <si>
    <t>Progress toward 70 kg while improving strength and fitness</t>
  </si>
  <si>
    <t>Finance</t>
  </si>
  <si>
    <t>Increase savings, income and financial stability</t>
  </si>
  <si>
    <t>International</t>
  </si>
  <si>
    <t>Prepare for future international career opportunities</t>
  </si>
  <si>
    <t>Date</t>
  </si>
  <si>
    <t>Day</t>
  </si>
  <si>
    <t>Study (1.5-2h)</t>
  </si>
  <si>
    <t>Coding (30-45m)</t>
  </si>
  <si>
    <t>Workout</t>
  </si>
  <si>
    <t>Diet 90%</t>
  </si>
  <si>
    <t>Water 2.5-3L</t>
  </si>
  <si>
    <t>English 15m</t>
  </si>
  <si>
    <t>Finance 5m</t>
  </si>
  <si>
    <t>Reflection</t>
  </si>
  <si>
    <t>Daily Score %</t>
  </si>
  <si>
    <t>Notes</t>
  </si>
  <si>
    <t>Monday</t>
  </si>
  <si>
    <t>Tuesday</t>
  </si>
  <si>
    <t>Wednesday</t>
  </si>
  <si>
    <t>Thursday</t>
  </si>
  <si>
    <t>Friday</t>
  </si>
  <si>
    <t>Saturday</t>
  </si>
  <si>
    <t>Sunday</t>
  </si>
  <si>
    <t>Week Start</t>
  </si>
  <si>
    <t>Week</t>
  </si>
  <si>
    <t>Study Days</t>
  </si>
  <si>
    <t>Coding Days</t>
  </si>
  <si>
    <t>Workout Days</t>
  </si>
  <si>
    <t>Diet Days</t>
  </si>
  <si>
    <t>Avg Steps</t>
  </si>
  <si>
    <t>Avg Daily Score</t>
  </si>
  <si>
    <t>Weekly Score %</t>
  </si>
  <si>
    <t>Career Win</t>
  </si>
  <si>
    <t>Fitness Win</t>
  </si>
  <si>
    <t>Improve Next 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</si>
  <si>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</si>
  <si>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</si>
  <si>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</si>
  <si>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</si>
  <si>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</si>
  <si>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</si>
  <si>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</si>
  <si>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</si>
  <si>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</si>
  <si>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</si>
  <si>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</si>
  <si>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</si>
  <si>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</si>
  <si>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</si>
  <si>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</si>
  <si>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</si>
  <si>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</si>
  <si>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</si>
  <si>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</si>
  <si>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</si>
  <si>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</si>
  <si>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</si>
  <si>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</si>
  <si>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</si>
  <si>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</si>
  <si>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</si>
  <si>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</si>
  <si>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</si>
  <si>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</si>
  <si>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</si>
  <si>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</si>
  <si>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</si>
  <si>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</si>
  <si>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</si>
  <si>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</si>
  <si>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</si>
  <si>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</si>
  <si>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</si>
  <si>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</si>
  <si>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</si>
  <si>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</si>
  <si>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</si>
  <si>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</si>
  <si>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</si>
  <si>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</si>
  <si>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</si>
  <si>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</si>
  <si>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</si>
  <si>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</si>
  <si>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</si>
  <si>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</si>
  <si>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</si>
  <si>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Month</t>
  </si>
  <si>
    <t>Primary Career Skill</t>
  </si>
  <si>
    <t>Major Project</t>
  </si>
  <si>
    <t>Study Target (hrs)</t>
  </si>
  <si>
    <t>Projects Target</t>
  </si>
  <si>
    <t>Workout Target</t>
  </si>
  <si>
    <t>Weight Target (kg)</t>
  </si>
  <si>
    <t>Savings Target (₹)</t>
  </si>
  <si>
    <t>Job Applications</t>
  </si>
  <si>
    <t>Actual Study Hrs</t>
  </si>
  <si>
    <t>Projects Completed</t>
  </si>
  <si>
    <t>Weight (kg)</t>
  </si>
  <si>
    <t>Savings (₹)</t>
  </si>
  <si>
    <t>Applications</t>
  </si>
  <si>
    <t>Goal Completion %</t>
  </si>
  <si>
    <t>Monthly Score</t>
  </si>
  <si>
    <t>Key Result / Notes</t>
  </si>
  <si>
    <t>How to use this tracker</t>
  </si>
  <si>
    <t>Daily Tracker: enter ✓ when you complete a habit and ✗ when you miss it.</t>
  </si>
  <si>
    <t>Daily Score is calculated automatically from the 11 daily habits.</t>
  </si>
  <si>
    <t>Weekly Review: review your consistency every Sunday and enter average steps and wins.</t>
  </si>
  <si>
    <t>Monthly Goals: set one primary career skill and one major project each month, then enter actual results.</t>
  </si>
  <si>
    <t>Dashboard: use it as your quick monthly snapshot.</t>
  </si>
  <si>
    <t>Rule: aim for consistency, not perfection. Never miss two days in a row.</t>
  </si>
  <si>
    <t>Screen &lt;2h</t>
  </si>
  <si>
    <t>Sleep 6-7h</t>
  </si>
  <si>
    <t>✓</t>
  </si>
  <si>
    <t>✗</t>
  </si>
  <si>
    <t xml:space="preserve">Fully Motivated </t>
  </si>
  <si>
    <t>Busy in office Work</t>
  </si>
  <si>
    <t>ABS + Steps 2k+</t>
  </si>
  <si>
    <t>De-Motivated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</si>
</sst>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Habit Tracker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AF1-44DA-A8B2-AD14290D50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AF1-44DA-A8B2-AD14290D50A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AF1-44DA-A8B2-AD14290D50A4}"/>
              </c:ext>
            </c:extLst>
          </c:dPt>
          <c:cat>
            <c:strRef>
              <c:f>Dashboard!$A$3:$A$4</c:f>
              <c:strCache>
                <c:ptCount val="2"/>
                <c:pt idx="0">
                  <c:v>Daily habit consistency</c:v>
                </c:pt>
                <c:pt idx="1">
                  <c:v>Weekly average score</c:v>
                </c:pt>
              </c:strCache>
            </c:strRef>
          </c:cat>
          <c:val>
            <c:numRef>
              <c:f>Dashboard!$B$3:$B$4</c:f>
              <c:numCache>
                <c:formatCode>0%</c:formatCode>
                <c:ptCount val="2"/>
                <c:pt idx="0">
                  <c:v>0.79545454545454541</c:v>
                </c:pt>
                <c:pt idx="1">
                  <c:v>0.79545454545454541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5-4AC1-ACFA-C5031ABD6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0</xdr:row>
      <xdr:rowOff>0</xdr:rowOff>
    </xdr:from>
    <xdr:to>
      <xdr:col>7</xdr:col>
      <xdr:colOff>130174</xdr:colOff>
      <xdr:row>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2A201-BA27-0D8B-0CBF-0B740AACE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pane ySplit="1" topLeftCell="A2" activePane="bottomLeft" state="frozen"/>
      <selection pane="bottomLeft" activeCell="I11" sqref="I11"/>
    </sheetView>
  </sheetViews>
  <sheetFormatPr defaultRowHeight="14.5" x14ac:dyDescent="0.35"/>
  <cols>
    <col min="1" max="2" width="28" customWidth="1"/>
  </cols>
  <sheetData>
    <row r="1" spans="1:2" ht="29" x14ac:dyDescent="0.35">
      <c r="A1" s="1" t="s">
        <v>0</v>
      </c>
      <c r="B1" s="1"/>
    </row>
    <row r="2" spans="1:2" x14ac:dyDescent="0.35">
      <c r="A2" s="2"/>
      <c r="B2" s="2"/>
    </row>
    <row r="3" spans="1:2" x14ac:dyDescent="0.35">
      <c r="A3" s="2" t="s">
        <v>1</v>
      </c>
      <c r="B3" s="3">
        <f>IFERROR(AVERAGE('Daily Tracker'!N2:N366),"")</f>
        <v>0.79545454545454541</v>
      </c>
    </row>
    <row r="4" spans="1:2" x14ac:dyDescent="0.35">
      <c r="A4" s="2" t="s">
        <v>2</v>
      </c>
      <c r="B4" s="3">
        <f>IFERROR(AVERAGE('Weekly Review'!I2:I53),"")</f>
        <v>0.79545454545454541</v>
      </c>
    </row>
    <row r="5" spans="1:2" x14ac:dyDescent="0.35">
      <c r="A5" s="2" t="s">
        <v>3</v>
      </c>
      <c r="B5" s="4">
        <f>IFERROR(AVERAGE('Monthly Goals'!Q2:Q13),"")</f>
        <v>25</v>
      </c>
    </row>
    <row r="6" spans="1:2" x14ac:dyDescent="0.35">
      <c r="A6" s="2"/>
      <c r="B6" s="2"/>
    </row>
    <row r="7" spans="1:2" x14ac:dyDescent="0.35">
      <c r="A7" s="2" t="s">
        <v>4</v>
      </c>
      <c r="B7" s="2"/>
    </row>
    <row r="8" spans="1:2" ht="29" x14ac:dyDescent="0.35">
      <c r="A8" s="2" t="s">
        <v>5</v>
      </c>
      <c r="B8" s="2" t="s">
        <v>6</v>
      </c>
    </row>
    <row r="9" spans="1:2" ht="43.5" x14ac:dyDescent="0.35">
      <c r="A9" s="2" t="s">
        <v>7</v>
      </c>
      <c r="B9" s="2" t="s">
        <v>8</v>
      </c>
    </row>
    <row r="10" spans="1:2" ht="29" x14ac:dyDescent="0.35">
      <c r="A10" s="2" t="s">
        <v>9</v>
      </c>
      <c r="B10" s="2" t="s">
        <v>10</v>
      </c>
    </row>
    <row r="11" spans="1:2" ht="29" x14ac:dyDescent="0.35">
      <c r="A11" s="2" t="s">
        <v>11</v>
      </c>
      <c r="B11" s="2" t="s">
        <v>12</v>
      </c>
    </row>
    <row r="12" spans="1:2" ht="29" x14ac:dyDescent="0.35">
      <c r="A12" s="2" t="s">
        <v>13</v>
      </c>
      <c r="B12" s="2" t="s">
        <v>14</v>
      </c>
    </row>
  </sheetData>
  <autoFilter ref="A1:B12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66"/>
  <sheetViews>
    <sheetView zoomScale="90" zoomScaleNormal="90" workbookViewId="0">
      <pane ySplit="1" topLeftCell="A2" activePane="bottomLeft" state="frozen"/>
      <selection pane="bottomLeft" activeCell="I14" sqref="I14"/>
    </sheetView>
  </sheetViews>
  <sheetFormatPr defaultRowHeight="14.5" x14ac:dyDescent="0.35"/>
  <cols>
    <col min="1" max="1" width="10.08984375" bestFit="1" customWidth="1"/>
    <col min="2" max="2" width="10.6328125" bestFit="1" customWidth="1"/>
    <col min="3" max="4" width="16" customWidth="1"/>
    <col min="5" max="5" width="9.26953125" customWidth="1"/>
    <col min="6" max="6" width="15.81640625" customWidth="1"/>
    <col min="7" max="7" width="10.453125" bestFit="1" customWidth="1"/>
    <col min="8" max="8" width="13.81640625" bestFit="1" customWidth="1"/>
    <col min="9" max="9" width="13" bestFit="1" customWidth="1"/>
    <col min="10" max="10" width="12.54296875" bestFit="1" customWidth="1"/>
    <col min="11" max="11" width="12.1796875" bestFit="1" customWidth="1"/>
    <col min="12" max="12" width="11.7265625" bestFit="1" customWidth="1"/>
    <col min="13" max="13" width="11.453125" bestFit="1" customWidth="1"/>
    <col min="14" max="14" width="14.08984375" bestFit="1" customWidth="1"/>
    <col min="15" max="15" width="33.90625" customWidth="1"/>
  </cols>
  <sheetData>
    <row r="1" spans="1:15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128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122</v>
      </c>
      <c r="L1" s="1" t="s">
        <v>123</v>
      </c>
      <c r="M1" s="1" t="s">
        <v>24</v>
      </c>
      <c r="N1" s="1" t="s">
        <v>25</v>
      </c>
      <c r="O1" s="1" t="s">
        <v>26</v>
      </c>
    </row>
    <row r="2" spans="1:15" x14ac:dyDescent="0.35">
      <c r="A2" s="5">
        <v>46251</v>
      </c>
      <c r="B2" s="2" t="s">
        <v>27</v>
      </c>
      <c r="C2" s="2" t="s">
        <v>124</v>
      </c>
      <c r="D2" s="2" t="s">
        <v>124</v>
      </c>
      <c r="E2" s="2" t="s">
        <v>124</v>
      </c>
      <c r="F2" s="2" t="s">
        <v>124</v>
      </c>
      <c r="G2" s="2" t="s">
        <v>124</v>
      </c>
      <c r="H2" s="2" t="s">
        <v>124</v>
      </c>
      <c r="I2" s="2" t="s">
        <v>124</v>
      </c>
      <c r="J2" s="2" t="s">
        <v>124</v>
      </c>
      <c r="K2" s="2" t="s">
        <v>125</v>
      </c>
      <c r="L2" s="2" t="s">
        <v>124</v>
      </c>
      <c r="M2" s="2" t="s">
        <v>124</v>
      </c>
      <c r="N2" s="3">
        <f t="shared" ref="N2:N65" si="0">IF(COUNTA(C2:M2)=0,"",COUNTIF(C2:M2,"✓")/11)</f>
        <v>0.90909090909090906</v>
      </c>
      <c r="O2" s="2" t="s">
        <v>126</v>
      </c>
    </row>
    <row r="3" spans="1:15" x14ac:dyDescent="0.35">
      <c r="A3" s="5">
        <v>46252</v>
      </c>
      <c r="B3" s="2" t="s">
        <v>28</v>
      </c>
      <c r="C3" s="2" t="s">
        <v>124</v>
      </c>
      <c r="D3" s="2" t="s">
        <v>125</v>
      </c>
      <c r="E3" s="2" t="s">
        <v>124</v>
      </c>
      <c r="F3" s="2" t="s">
        <v>124</v>
      </c>
      <c r="G3" s="2" t="s">
        <v>125</v>
      </c>
      <c r="H3" s="2" t="s">
        <v>124</v>
      </c>
      <c r="I3" s="2" t="s">
        <v>124</v>
      </c>
      <c r="J3" s="2" t="s">
        <v>124</v>
      </c>
      <c r="K3" s="2" t="s">
        <v>125</v>
      </c>
      <c r="L3" s="2" t="s">
        <v>124</v>
      </c>
      <c r="M3" s="2" t="s">
        <v>124</v>
      </c>
      <c r="N3" s="3">
        <f t="shared" si="0"/>
        <v>0.72727272727272729</v>
      </c>
      <c r="O3" s="2" t="s">
        <v>127</v>
      </c>
    </row>
    <row r="4" spans="1:15" x14ac:dyDescent="0.35">
      <c r="A4" s="5">
        <v>46253</v>
      </c>
      <c r="B4" s="2" t="s">
        <v>29</v>
      </c>
      <c r="C4" s="2" t="s">
        <v>125</v>
      </c>
      <c r="D4" s="2" t="s">
        <v>124</v>
      </c>
      <c r="E4" s="2" t="s">
        <v>124</v>
      </c>
      <c r="F4" s="2" t="s">
        <v>124</v>
      </c>
      <c r="G4" s="2" t="s">
        <v>124</v>
      </c>
      <c r="H4" s="2" t="s">
        <v>124</v>
      </c>
      <c r="I4" s="2" t="s">
        <v>124</v>
      </c>
      <c r="J4" s="2" t="s">
        <v>124</v>
      </c>
      <c r="K4" s="2" t="s">
        <v>124</v>
      </c>
      <c r="L4" s="2" t="s">
        <v>124</v>
      </c>
      <c r="M4" s="2" t="s">
        <v>124</v>
      </c>
      <c r="N4" s="3">
        <f t="shared" si="0"/>
        <v>0.90909090909090906</v>
      </c>
      <c r="O4" s="2" t="s">
        <v>127</v>
      </c>
    </row>
    <row r="5" spans="1:15" x14ac:dyDescent="0.35">
      <c r="A5" s="5">
        <v>46254</v>
      </c>
      <c r="B5" s="2" t="s">
        <v>30</v>
      </c>
      <c r="C5" s="2" t="s">
        <v>125</v>
      </c>
      <c r="D5" s="2" t="s">
        <v>124</v>
      </c>
      <c r="E5" s="2" t="s">
        <v>124</v>
      </c>
      <c r="F5" s="2" t="s">
        <v>125</v>
      </c>
      <c r="G5" s="2" t="s">
        <v>124</v>
      </c>
      <c r="H5" s="2" t="s">
        <v>124</v>
      </c>
      <c r="I5" s="2" t="s">
        <v>125</v>
      </c>
      <c r="J5" s="2" t="s">
        <v>124</v>
      </c>
      <c r="K5" s="2" t="s">
        <v>124</v>
      </c>
      <c r="L5" s="2" t="s">
        <v>124</v>
      </c>
      <c r="M5" s="2" t="s">
        <v>125</v>
      </c>
      <c r="N5" s="3">
        <f t="shared" si="0"/>
        <v>0.63636363636363635</v>
      </c>
      <c r="O5" s="2" t="s">
        <v>129</v>
      </c>
    </row>
    <row r="6" spans="1:15" x14ac:dyDescent="0.35">
      <c r="A6" s="5">
        <v>46255</v>
      </c>
      <c r="B6" s="2" t="s">
        <v>31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 t="str">
        <f t="shared" si="0"/>
        <v/>
      </c>
      <c r="O6" s="2"/>
    </row>
    <row r="7" spans="1:15" x14ac:dyDescent="0.35">
      <c r="A7" s="5">
        <v>46256</v>
      </c>
      <c r="B7" s="2" t="s">
        <v>32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 t="str">
        <f t="shared" si="0"/>
        <v/>
      </c>
      <c r="O7" s="2"/>
    </row>
    <row r="8" spans="1:15" x14ac:dyDescent="0.35">
      <c r="A8" s="5">
        <v>46257</v>
      </c>
      <c r="B8" s="2" t="s">
        <v>33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 t="str">
        <f t="shared" si="0"/>
        <v/>
      </c>
      <c r="O8" s="2"/>
    </row>
    <row r="9" spans="1:15" x14ac:dyDescent="0.35">
      <c r="A9" s="5">
        <v>46258</v>
      </c>
      <c r="B9" s="2" t="s">
        <v>27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 t="str">
        <f t="shared" si="0"/>
        <v/>
      </c>
      <c r="O9" s="2"/>
    </row>
    <row r="10" spans="1:15" x14ac:dyDescent="0.35">
      <c r="A10" s="5">
        <v>46259</v>
      </c>
      <c r="B10" s="2" t="s">
        <v>28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 t="str">
        <f t="shared" si="0"/>
        <v/>
      </c>
      <c r="O10" s="2"/>
    </row>
    <row r="11" spans="1:15" x14ac:dyDescent="0.35">
      <c r="A11" s="5">
        <v>46260</v>
      </c>
      <c r="B11" s="2" t="s">
        <v>29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 t="str">
        <f t="shared" si="0"/>
        <v/>
      </c>
      <c r="O11" s="2"/>
    </row>
    <row r="12" spans="1:15" x14ac:dyDescent="0.35">
      <c r="A12" s="5">
        <v>46261</v>
      </c>
      <c r="B12" s="2" t="s">
        <v>30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 t="str">
        <f t="shared" si="0"/>
        <v/>
      </c>
      <c r="O12" s="2"/>
    </row>
    <row r="13" spans="1:15" x14ac:dyDescent="0.35">
      <c r="A13" s="5">
        <v>46262</v>
      </c>
      <c r="B13" s="2" t="s">
        <v>31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 t="str">
        <f t="shared" si="0"/>
        <v/>
      </c>
      <c r="O13" s="2"/>
    </row>
    <row r="14" spans="1:15" x14ac:dyDescent="0.35">
      <c r="A14" s="5">
        <v>46263</v>
      </c>
      <c r="B14" s="2" t="s">
        <v>32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 t="str">
        <f t="shared" si="0"/>
        <v/>
      </c>
      <c r="O14" s="2"/>
    </row>
    <row r="15" spans="1:15" x14ac:dyDescent="0.35">
      <c r="A15" s="5">
        <v>46264</v>
      </c>
      <c r="B15" s="2" t="s">
        <v>33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 t="str">
        <f t="shared" si="0"/>
        <v/>
      </c>
      <c r="O15" s="2"/>
    </row>
    <row r="16" spans="1:15" x14ac:dyDescent="0.35">
      <c r="A16" s="5">
        <v>46265</v>
      </c>
      <c r="B16" s="2" t="s">
        <v>27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 t="str">
        <f t="shared" si="0"/>
        <v/>
      </c>
      <c r="O16" s="2"/>
    </row>
    <row r="17" spans="1:15" x14ac:dyDescent="0.35">
      <c r="A17" s="5">
        <v>46266</v>
      </c>
      <c r="B17" s="2" t="s">
        <v>28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 t="str">
        <f t="shared" si="0"/>
        <v/>
      </c>
      <c r="O17" s="2"/>
    </row>
    <row r="18" spans="1:15" x14ac:dyDescent="0.35">
      <c r="A18" s="5">
        <v>46267</v>
      </c>
      <c r="B18" s="2" t="s">
        <v>29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 t="str">
        <f t="shared" si="0"/>
        <v/>
      </c>
      <c r="O18" s="2"/>
    </row>
    <row r="19" spans="1:15" x14ac:dyDescent="0.35">
      <c r="A19" s="5">
        <v>46268</v>
      </c>
      <c r="B19" s="2" t="s">
        <v>30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 t="str">
        <f t="shared" si="0"/>
        <v/>
      </c>
      <c r="O19" s="2"/>
    </row>
    <row r="20" spans="1:15" x14ac:dyDescent="0.35">
      <c r="A20" s="5">
        <v>46269</v>
      </c>
      <c r="B20" s="2" t="s">
        <v>31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 t="str">
        <f t="shared" si="0"/>
        <v/>
      </c>
      <c r="O20" s="2"/>
    </row>
    <row r="21" spans="1:15" x14ac:dyDescent="0.35">
      <c r="A21" s="5">
        <v>46270</v>
      </c>
      <c r="B21" s="2" t="s">
        <v>32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 t="str">
        <f t="shared" si="0"/>
        <v/>
      </c>
      <c r="O21" s="2"/>
    </row>
    <row r="22" spans="1:15" x14ac:dyDescent="0.35">
      <c r="A22" s="5">
        <v>46271</v>
      </c>
      <c r="B22" s="2" t="s">
        <v>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 t="str">
        <f t="shared" si="0"/>
        <v/>
      </c>
      <c r="O22" s="2"/>
    </row>
    <row r="23" spans="1:15" x14ac:dyDescent="0.35">
      <c r="A23" s="5">
        <v>46272</v>
      </c>
      <c r="B23" s="2" t="s">
        <v>27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 t="str">
        <f t="shared" si="0"/>
        <v/>
      </c>
      <c r="O23" s="2"/>
    </row>
    <row r="24" spans="1:15" x14ac:dyDescent="0.35">
      <c r="A24" s="5">
        <v>46273</v>
      </c>
      <c r="B24" s="2" t="s">
        <v>28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 t="str">
        <f t="shared" si="0"/>
        <v/>
      </c>
      <c r="O24" s="2"/>
    </row>
    <row r="25" spans="1:15" x14ac:dyDescent="0.35">
      <c r="A25" s="5">
        <v>46274</v>
      </c>
      <c r="B25" s="2" t="s">
        <v>29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 t="str">
        <f t="shared" si="0"/>
        <v/>
      </c>
      <c r="O25" s="2"/>
    </row>
    <row r="26" spans="1:15" x14ac:dyDescent="0.35">
      <c r="A26" s="5">
        <v>46275</v>
      </c>
      <c r="B26" s="2" t="s">
        <v>30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 t="str">
        <f t="shared" si="0"/>
        <v/>
      </c>
      <c r="O26" s="2"/>
    </row>
    <row r="27" spans="1:15" x14ac:dyDescent="0.35">
      <c r="A27" s="5">
        <v>46276</v>
      </c>
      <c r="B27" s="2" t="s">
        <v>31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 t="str">
        <f t="shared" si="0"/>
        <v/>
      </c>
      <c r="O27" s="2"/>
    </row>
    <row r="28" spans="1:15" x14ac:dyDescent="0.35">
      <c r="A28" s="5">
        <v>46277</v>
      </c>
      <c r="B28" s="2" t="s">
        <v>32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 t="str">
        <f t="shared" si="0"/>
        <v/>
      </c>
      <c r="O28" s="2"/>
    </row>
    <row r="29" spans="1:15" x14ac:dyDescent="0.35">
      <c r="A29" s="5">
        <v>46278</v>
      </c>
      <c r="B29" s="2" t="s">
        <v>33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 t="str">
        <f t="shared" si="0"/>
        <v/>
      </c>
      <c r="O29" s="2"/>
    </row>
    <row r="30" spans="1:15" x14ac:dyDescent="0.35">
      <c r="A30" s="5">
        <v>46279</v>
      </c>
      <c r="B30" s="2" t="s">
        <v>27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 t="str">
        <f t="shared" si="0"/>
        <v/>
      </c>
      <c r="O30" s="2"/>
    </row>
    <row r="31" spans="1:15" x14ac:dyDescent="0.35">
      <c r="A31" s="5">
        <v>46280</v>
      </c>
      <c r="B31" s="2" t="s">
        <v>28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 t="str">
        <f t="shared" si="0"/>
        <v/>
      </c>
      <c r="O31" s="2"/>
    </row>
    <row r="32" spans="1:15" x14ac:dyDescent="0.35">
      <c r="A32" s="5">
        <v>46281</v>
      </c>
      <c r="B32" s="2" t="s">
        <v>29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" t="str">
        <f t="shared" si="0"/>
        <v/>
      </c>
      <c r="O32" s="2"/>
    </row>
    <row r="33" spans="1:15" x14ac:dyDescent="0.35">
      <c r="A33" s="5">
        <v>46282</v>
      </c>
      <c r="B33" s="2" t="s">
        <v>30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 t="str">
        <f t="shared" si="0"/>
        <v/>
      </c>
      <c r="O33" s="2"/>
    </row>
    <row r="34" spans="1:15" x14ac:dyDescent="0.35">
      <c r="A34" s="5">
        <v>46283</v>
      </c>
      <c r="B34" s="2" t="s">
        <v>31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" t="str">
        <f t="shared" si="0"/>
        <v/>
      </c>
      <c r="O34" s="2"/>
    </row>
    <row r="35" spans="1:15" x14ac:dyDescent="0.35">
      <c r="A35" s="5">
        <v>46284</v>
      </c>
      <c r="B35" s="2" t="s">
        <v>32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" t="str">
        <f t="shared" si="0"/>
        <v/>
      </c>
      <c r="O35" s="2"/>
    </row>
    <row r="36" spans="1:15" x14ac:dyDescent="0.35">
      <c r="A36" s="5">
        <v>46285</v>
      </c>
      <c r="B36" s="2" t="s">
        <v>33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 t="str">
        <f t="shared" si="0"/>
        <v/>
      </c>
      <c r="O36" s="2"/>
    </row>
    <row r="37" spans="1:15" x14ac:dyDescent="0.35">
      <c r="A37" s="5">
        <v>46286</v>
      </c>
      <c r="B37" s="2" t="s">
        <v>27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" t="str">
        <f t="shared" si="0"/>
        <v/>
      </c>
      <c r="O37" s="2"/>
    </row>
    <row r="38" spans="1:15" x14ac:dyDescent="0.35">
      <c r="A38" s="5">
        <v>46287</v>
      </c>
      <c r="B38" s="2" t="s">
        <v>28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" t="str">
        <f t="shared" si="0"/>
        <v/>
      </c>
      <c r="O38" s="2"/>
    </row>
    <row r="39" spans="1:15" x14ac:dyDescent="0.35">
      <c r="A39" s="5">
        <v>46288</v>
      </c>
      <c r="B39" s="2" t="s">
        <v>29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 t="str">
        <f t="shared" si="0"/>
        <v/>
      </c>
      <c r="O39" s="2"/>
    </row>
    <row r="40" spans="1:15" x14ac:dyDescent="0.35">
      <c r="A40" s="5">
        <v>46289</v>
      </c>
      <c r="B40" s="2" t="s">
        <v>30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" t="str">
        <f t="shared" si="0"/>
        <v/>
      </c>
      <c r="O40" s="2"/>
    </row>
    <row r="41" spans="1:15" x14ac:dyDescent="0.35">
      <c r="A41" s="5">
        <v>46290</v>
      </c>
      <c r="B41" s="2" t="s">
        <v>31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 t="str">
        <f t="shared" si="0"/>
        <v/>
      </c>
      <c r="O41" s="2"/>
    </row>
    <row r="42" spans="1:15" x14ac:dyDescent="0.35">
      <c r="A42" s="5">
        <v>46291</v>
      </c>
      <c r="B42" s="2" t="s">
        <v>32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" t="str">
        <f t="shared" si="0"/>
        <v/>
      </c>
      <c r="O42" s="2"/>
    </row>
    <row r="43" spans="1:15" x14ac:dyDescent="0.35">
      <c r="A43" s="5">
        <v>46292</v>
      </c>
      <c r="B43" s="2" t="s">
        <v>33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 t="str">
        <f t="shared" si="0"/>
        <v/>
      </c>
      <c r="O43" s="2"/>
    </row>
    <row r="44" spans="1:15" x14ac:dyDescent="0.35">
      <c r="A44" s="5">
        <v>46293</v>
      </c>
      <c r="B44" s="2" t="s">
        <v>27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 t="str">
        <f t="shared" si="0"/>
        <v/>
      </c>
      <c r="O44" s="2"/>
    </row>
    <row r="45" spans="1:15" x14ac:dyDescent="0.35">
      <c r="A45" s="5">
        <v>46294</v>
      </c>
      <c r="B45" s="2" t="s">
        <v>28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 t="str">
        <f t="shared" si="0"/>
        <v/>
      </c>
      <c r="O45" s="2"/>
    </row>
    <row r="46" spans="1:15" x14ac:dyDescent="0.35">
      <c r="A46" s="5">
        <v>46295</v>
      </c>
      <c r="B46" s="2" t="s">
        <v>29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 t="str">
        <f t="shared" si="0"/>
        <v/>
      </c>
      <c r="O46" s="2"/>
    </row>
    <row r="47" spans="1:15" x14ac:dyDescent="0.35">
      <c r="A47" s="5">
        <v>46296</v>
      </c>
      <c r="B47" s="2" t="s">
        <v>30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 t="str">
        <f t="shared" si="0"/>
        <v/>
      </c>
      <c r="O47" s="2"/>
    </row>
    <row r="48" spans="1:15" x14ac:dyDescent="0.35">
      <c r="A48" s="5">
        <v>46297</v>
      </c>
      <c r="B48" s="2" t="s">
        <v>31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 t="str">
        <f t="shared" si="0"/>
        <v/>
      </c>
      <c r="O48" s="2"/>
    </row>
    <row r="49" spans="1:15" x14ac:dyDescent="0.35">
      <c r="A49" s="5">
        <v>46298</v>
      </c>
      <c r="B49" s="2" t="s">
        <v>32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 t="str">
        <f t="shared" si="0"/>
        <v/>
      </c>
      <c r="O49" s="2"/>
    </row>
    <row r="50" spans="1:15" x14ac:dyDescent="0.35">
      <c r="A50" s="5">
        <v>46299</v>
      </c>
      <c r="B50" s="2" t="s">
        <v>33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 t="str">
        <f t="shared" si="0"/>
        <v/>
      </c>
      <c r="O50" s="2"/>
    </row>
    <row r="51" spans="1:15" x14ac:dyDescent="0.35">
      <c r="A51" s="5">
        <v>46300</v>
      </c>
      <c r="B51" s="2" t="s">
        <v>27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 t="str">
        <f t="shared" si="0"/>
        <v/>
      </c>
      <c r="O51" s="2"/>
    </row>
    <row r="52" spans="1:15" x14ac:dyDescent="0.35">
      <c r="A52" s="5">
        <v>46301</v>
      </c>
      <c r="B52" s="2" t="s">
        <v>28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 t="str">
        <f t="shared" si="0"/>
        <v/>
      </c>
      <c r="O52" s="2"/>
    </row>
    <row r="53" spans="1:15" x14ac:dyDescent="0.35">
      <c r="A53" s="5">
        <v>46302</v>
      </c>
      <c r="B53" s="2" t="s">
        <v>29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 t="str">
        <f t="shared" si="0"/>
        <v/>
      </c>
      <c r="O53" s="2"/>
    </row>
    <row r="54" spans="1:15" x14ac:dyDescent="0.35">
      <c r="A54" s="5">
        <v>46303</v>
      </c>
      <c r="B54" s="2" t="s">
        <v>30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" t="str">
        <f t="shared" si="0"/>
        <v/>
      </c>
      <c r="O54" s="2"/>
    </row>
    <row r="55" spans="1:15" x14ac:dyDescent="0.35">
      <c r="A55" s="5">
        <v>46304</v>
      </c>
      <c r="B55" s="2" t="s">
        <v>31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 t="str">
        <f t="shared" si="0"/>
        <v/>
      </c>
      <c r="O55" s="2"/>
    </row>
    <row r="56" spans="1:15" x14ac:dyDescent="0.35">
      <c r="A56" s="5">
        <v>46305</v>
      </c>
      <c r="B56" s="2" t="s">
        <v>32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" t="str">
        <f t="shared" si="0"/>
        <v/>
      </c>
      <c r="O56" s="2"/>
    </row>
    <row r="57" spans="1:15" x14ac:dyDescent="0.35">
      <c r="A57" s="5">
        <v>46306</v>
      </c>
      <c r="B57" s="2" t="s">
        <v>33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 t="str">
        <f t="shared" si="0"/>
        <v/>
      </c>
      <c r="O57" s="2"/>
    </row>
    <row r="58" spans="1:15" x14ac:dyDescent="0.35">
      <c r="A58" s="5">
        <v>46307</v>
      </c>
      <c r="B58" s="2" t="s">
        <v>27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 t="str">
        <f t="shared" si="0"/>
        <v/>
      </c>
      <c r="O58" s="2"/>
    </row>
    <row r="59" spans="1:15" x14ac:dyDescent="0.35">
      <c r="A59" s="5">
        <v>46308</v>
      </c>
      <c r="B59" s="2" t="s">
        <v>28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" t="str">
        <f t="shared" si="0"/>
        <v/>
      </c>
      <c r="O59" s="2"/>
    </row>
    <row r="60" spans="1:15" x14ac:dyDescent="0.35">
      <c r="A60" s="5">
        <v>46309</v>
      </c>
      <c r="B60" s="2" t="s">
        <v>29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 t="str">
        <f t="shared" si="0"/>
        <v/>
      </c>
      <c r="O60" s="2"/>
    </row>
    <row r="61" spans="1:15" x14ac:dyDescent="0.35">
      <c r="A61" s="5">
        <v>46310</v>
      </c>
      <c r="B61" s="2" t="s">
        <v>30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 t="str">
        <f t="shared" si="0"/>
        <v/>
      </c>
      <c r="O61" s="2"/>
    </row>
    <row r="62" spans="1:15" x14ac:dyDescent="0.35">
      <c r="A62" s="5">
        <v>46311</v>
      </c>
      <c r="B62" s="2" t="s">
        <v>31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" t="str">
        <f t="shared" si="0"/>
        <v/>
      </c>
      <c r="O62" s="2"/>
    </row>
    <row r="63" spans="1:15" x14ac:dyDescent="0.35">
      <c r="A63" s="5">
        <v>46312</v>
      </c>
      <c r="B63" s="2" t="s">
        <v>32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" t="str">
        <f t="shared" si="0"/>
        <v/>
      </c>
      <c r="O63" s="2"/>
    </row>
    <row r="64" spans="1:15" x14ac:dyDescent="0.35">
      <c r="A64" s="5">
        <v>46313</v>
      </c>
      <c r="B64" s="2" t="s">
        <v>33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 t="str">
        <f t="shared" si="0"/>
        <v/>
      </c>
      <c r="O64" s="2"/>
    </row>
    <row r="65" spans="1:15" x14ac:dyDescent="0.35">
      <c r="A65" s="5">
        <v>46314</v>
      </c>
      <c r="B65" s="2" t="s">
        <v>27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 t="str">
        <f t="shared" si="0"/>
        <v/>
      </c>
      <c r="O65" s="2"/>
    </row>
    <row r="66" spans="1:15" x14ac:dyDescent="0.35">
      <c r="A66" s="5">
        <v>46315</v>
      </c>
      <c r="B66" s="2" t="s">
        <v>28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" t="str">
        <f t="shared" ref="N66:N129" si="1">IF(COUNTA(C66:M66)=0,"",COUNTIF(C66:M66,"✓")/11)</f>
        <v/>
      </c>
      <c r="O66" s="2"/>
    </row>
    <row r="67" spans="1:15" x14ac:dyDescent="0.35">
      <c r="A67" s="5">
        <v>46316</v>
      </c>
      <c r="B67" s="2" t="s">
        <v>29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 t="str">
        <f t="shared" si="1"/>
        <v/>
      </c>
      <c r="O67" s="2"/>
    </row>
    <row r="68" spans="1:15" x14ac:dyDescent="0.35">
      <c r="A68" s="5">
        <v>46317</v>
      </c>
      <c r="B68" s="2" t="s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3" t="str">
        <f t="shared" si="1"/>
        <v/>
      </c>
      <c r="O68" s="2"/>
    </row>
    <row r="69" spans="1:15" x14ac:dyDescent="0.35">
      <c r="A69" s="5">
        <v>46318</v>
      </c>
      <c r="B69" s="2" t="s">
        <v>31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3" t="str">
        <f t="shared" si="1"/>
        <v/>
      </c>
      <c r="O69" s="2"/>
    </row>
    <row r="70" spans="1:15" x14ac:dyDescent="0.35">
      <c r="A70" s="5">
        <v>46319</v>
      </c>
      <c r="B70" s="2" t="s">
        <v>32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3" t="str">
        <f t="shared" si="1"/>
        <v/>
      </c>
      <c r="O70" s="2"/>
    </row>
    <row r="71" spans="1:15" x14ac:dyDescent="0.35">
      <c r="A71" s="5">
        <v>46320</v>
      </c>
      <c r="B71" s="2" t="s">
        <v>33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 t="str">
        <f t="shared" si="1"/>
        <v/>
      </c>
      <c r="O71" s="2"/>
    </row>
    <row r="72" spans="1:15" x14ac:dyDescent="0.35">
      <c r="A72" s="5">
        <v>46321</v>
      </c>
      <c r="B72" s="2" t="s">
        <v>27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 t="str">
        <f t="shared" si="1"/>
        <v/>
      </c>
      <c r="O72" s="2"/>
    </row>
    <row r="73" spans="1:15" x14ac:dyDescent="0.35">
      <c r="A73" s="5">
        <v>46322</v>
      </c>
      <c r="B73" s="2" t="s">
        <v>28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 t="str">
        <f t="shared" si="1"/>
        <v/>
      </c>
      <c r="O73" s="2"/>
    </row>
    <row r="74" spans="1:15" x14ac:dyDescent="0.35">
      <c r="A74" s="5">
        <v>46323</v>
      </c>
      <c r="B74" s="2" t="s">
        <v>29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" t="str">
        <f t="shared" si="1"/>
        <v/>
      </c>
      <c r="O74" s="2"/>
    </row>
    <row r="75" spans="1:15" x14ac:dyDescent="0.35">
      <c r="A75" s="5">
        <v>46324</v>
      </c>
      <c r="B75" s="2" t="s">
        <v>30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 t="str">
        <f t="shared" si="1"/>
        <v/>
      </c>
      <c r="O75" s="2"/>
    </row>
    <row r="76" spans="1:15" x14ac:dyDescent="0.35">
      <c r="A76" s="5">
        <v>46325</v>
      </c>
      <c r="B76" s="2" t="s">
        <v>31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 t="str">
        <f t="shared" si="1"/>
        <v/>
      </c>
      <c r="O76" s="2"/>
    </row>
    <row r="77" spans="1:15" x14ac:dyDescent="0.35">
      <c r="A77" s="5">
        <v>46326</v>
      </c>
      <c r="B77" s="2" t="s">
        <v>32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 t="str">
        <f t="shared" si="1"/>
        <v/>
      </c>
      <c r="O77" s="2"/>
    </row>
    <row r="78" spans="1:15" x14ac:dyDescent="0.35">
      <c r="A78" s="5">
        <v>46327</v>
      </c>
      <c r="B78" s="2" t="s">
        <v>33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 t="str">
        <f t="shared" si="1"/>
        <v/>
      </c>
      <c r="O78" s="2"/>
    </row>
    <row r="79" spans="1:15" x14ac:dyDescent="0.35">
      <c r="A79" s="5">
        <v>46328</v>
      </c>
      <c r="B79" s="2" t="s">
        <v>27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 t="str">
        <f t="shared" si="1"/>
        <v/>
      </c>
      <c r="O79" s="2"/>
    </row>
    <row r="80" spans="1:15" x14ac:dyDescent="0.35">
      <c r="A80" s="5">
        <v>46329</v>
      </c>
      <c r="B80" s="2" t="s">
        <v>28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 t="str">
        <f t="shared" si="1"/>
        <v/>
      </c>
      <c r="O80" s="2"/>
    </row>
    <row r="81" spans="1:15" x14ac:dyDescent="0.35">
      <c r="A81" s="5">
        <v>46330</v>
      </c>
      <c r="B81" s="2" t="s">
        <v>29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" t="str">
        <f t="shared" si="1"/>
        <v/>
      </c>
      <c r="O81" s="2"/>
    </row>
    <row r="82" spans="1:15" x14ac:dyDescent="0.35">
      <c r="A82" s="5">
        <v>46331</v>
      </c>
      <c r="B82" s="2" t="s">
        <v>30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 t="str">
        <f t="shared" si="1"/>
        <v/>
      </c>
      <c r="O82" s="2"/>
    </row>
    <row r="83" spans="1:15" x14ac:dyDescent="0.35">
      <c r="A83" s="5">
        <v>46332</v>
      </c>
      <c r="B83" s="2" t="s">
        <v>31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" t="str">
        <f t="shared" si="1"/>
        <v/>
      </c>
      <c r="O83" s="2"/>
    </row>
    <row r="84" spans="1:15" x14ac:dyDescent="0.35">
      <c r="A84" s="5">
        <v>46333</v>
      </c>
      <c r="B84" s="2" t="s">
        <v>32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3" t="str">
        <f t="shared" si="1"/>
        <v/>
      </c>
      <c r="O84" s="2"/>
    </row>
    <row r="85" spans="1:15" x14ac:dyDescent="0.35">
      <c r="A85" s="5">
        <v>46334</v>
      </c>
      <c r="B85" s="2" t="s">
        <v>33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 t="str">
        <f t="shared" si="1"/>
        <v/>
      </c>
      <c r="O85" s="2"/>
    </row>
    <row r="86" spans="1:15" x14ac:dyDescent="0.35">
      <c r="A86" s="5">
        <v>46335</v>
      </c>
      <c r="B86" s="2" t="s">
        <v>27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3" t="str">
        <f t="shared" si="1"/>
        <v/>
      </c>
      <c r="O86" s="2"/>
    </row>
    <row r="87" spans="1:15" x14ac:dyDescent="0.35">
      <c r="A87" s="5">
        <v>46336</v>
      </c>
      <c r="B87" s="2" t="s">
        <v>28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 t="str">
        <f t="shared" si="1"/>
        <v/>
      </c>
      <c r="O87" s="2"/>
    </row>
    <row r="88" spans="1:15" x14ac:dyDescent="0.35">
      <c r="A88" s="5">
        <v>46337</v>
      </c>
      <c r="B88" s="2" t="s">
        <v>29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" t="str">
        <f t="shared" si="1"/>
        <v/>
      </c>
      <c r="O88" s="2"/>
    </row>
    <row r="89" spans="1:15" x14ac:dyDescent="0.35">
      <c r="A89" s="5">
        <v>46338</v>
      </c>
      <c r="B89" s="2" t="s">
        <v>30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" t="str">
        <f t="shared" si="1"/>
        <v/>
      </c>
      <c r="O89" s="2"/>
    </row>
    <row r="90" spans="1:15" x14ac:dyDescent="0.35">
      <c r="A90" s="5">
        <v>46339</v>
      </c>
      <c r="B90" s="2" t="s">
        <v>31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" t="str">
        <f t="shared" si="1"/>
        <v/>
      </c>
      <c r="O90" s="2"/>
    </row>
    <row r="91" spans="1:15" x14ac:dyDescent="0.35">
      <c r="A91" s="5">
        <v>46340</v>
      </c>
      <c r="B91" s="2" t="s">
        <v>32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" t="str">
        <f t="shared" si="1"/>
        <v/>
      </c>
      <c r="O91" s="2"/>
    </row>
    <row r="92" spans="1:15" x14ac:dyDescent="0.35">
      <c r="A92" s="5">
        <v>46341</v>
      </c>
      <c r="B92" s="2" t="s">
        <v>33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 t="str">
        <f t="shared" si="1"/>
        <v/>
      </c>
      <c r="O92" s="2"/>
    </row>
    <row r="93" spans="1:15" x14ac:dyDescent="0.35">
      <c r="A93" s="5">
        <v>46342</v>
      </c>
      <c r="B93" s="2" t="s">
        <v>27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 t="str">
        <f t="shared" si="1"/>
        <v/>
      </c>
      <c r="O93" s="2"/>
    </row>
    <row r="94" spans="1:15" x14ac:dyDescent="0.35">
      <c r="A94" s="5">
        <v>46343</v>
      </c>
      <c r="B94" s="2" t="s">
        <v>28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" t="str">
        <f t="shared" si="1"/>
        <v/>
      </c>
      <c r="O94" s="2"/>
    </row>
    <row r="95" spans="1:15" x14ac:dyDescent="0.35">
      <c r="A95" s="5">
        <v>46344</v>
      </c>
      <c r="B95" s="2" t="s">
        <v>29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 t="str">
        <f t="shared" si="1"/>
        <v/>
      </c>
      <c r="O95" s="2"/>
    </row>
    <row r="96" spans="1:15" x14ac:dyDescent="0.35">
      <c r="A96" s="5">
        <v>46345</v>
      </c>
      <c r="B96" s="2" t="s">
        <v>30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" t="str">
        <f t="shared" si="1"/>
        <v/>
      </c>
      <c r="O96" s="2"/>
    </row>
    <row r="97" spans="1:15" x14ac:dyDescent="0.35">
      <c r="A97" s="5">
        <v>46346</v>
      </c>
      <c r="B97" s="2" t="s">
        <v>31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 t="str">
        <f t="shared" si="1"/>
        <v/>
      </c>
      <c r="O97" s="2"/>
    </row>
    <row r="98" spans="1:15" x14ac:dyDescent="0.35">
      <c r="A98" s="5">
        <v>46347</v>
      </c>
      <c r="B98" s="2" t="s">
        <v>32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 t="str">
        <f t="shared" si="1"/>
        <v/>
      </c>
      <c r="O98" s="2"/>
    </row>
    <row r="99" spans="1:15" x14ac:dyDescent="0.35">
      <c r="A99" s="5">
        <v>46348</v>
      </c>
      <c r="B99" s="2" t="s">
        <v>33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 t="str">
        <f t="shared" si="1"/>
        <v/>
      </c>
      <c r="O99" s="2"/>
    </row>
    <row r="100" spans="1:15" x14ac:dyDescent="0.35">
      <c r="A100" s="5">
        <v>46349</v>
      </c>
      <c r="B100" s="2" t="s">
        <v>27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 t="str">
        <f t="shared" si="1"/>
        <v/>
      </c>
      <c r="O100" s="2"/>
    </row>
    <row r="101" spans="1:15" x14ac:dyDescent="0.35">
      <c r="A101" s="5">
        <v>46350</v>
      </c>
      <c r="B101" s="2" t="s">
        <v>28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 t="str">
        <f t="shared" si="1"/>
        <v/>
      </c>
      <c r="O101" s="2"/>
    </row>
    <row r="102" spans="1:15" x14ac:dyDescent="0.35">
      <c r="A102" s="5">
        <v>46351</v>
      </c>
      <c r="B102" s="2" t="s">
        <v>29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 t="str">
        <f t="shared" si="1"/>
        <v/>
      </c>
      <c r="O102" s="2"/>
    </row>
    <row r="103" spans="1:15" x14ac:dyDescent="0.35">
      <c r="A103" s="5">
        <v>46352</v>
      </c>
      <c r="B103" s="2" t="s">
        <v>30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 t="str">
        <f t="shared" si="1"/>
        <v/>
      </c>
      <c r="O103" s="2"/>
    </row>
    <row r="104" spans="1:15" x14ac:dyDescent="0.35">
      <c r="A104" s="5">
        <v>46353</v>
      </c>
      <c r="B104" s="2" t="s">
        <v>31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 t="str">
        <f t="shared" si="1"/>
        <v/>
      </c>
      <c r="O104" s="2"/>
    </row>
    <row r="105" spans="1:15" x14ac:dyDescent="0.35">
      <c r="A105" s="5">
        <v>46354</v>
      </c>
      <c r="B105" s="2" t="s">
        <v>32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 t="str">
        <f t="shared" si="1"/>
        <v/>
      </c>
      <c r="O105" s="2"/>
    </row>
    <row r="106" spans="1:15" x14ac:dyDescent="0.35">
      <c r="A106" s="5">
        <v>46355</v>
      </c>
      <c r="B106" s="2" t="s">
        <v>33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 t="str">
        <f t="shared" si="1"/>
        <v/>
      </c>
      <c r="O106" s="2"/>
    </row>
    <row r="107" spans="1:15" x14ac:dyDescent="0.35">
      <c r="A107" s="5">
        <v>46356</v>
      </c>
      <c r="B107" s="2" t="s">
        <v>27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 t="str">
        <f t="shared" si="1"/>
        <v/>
      </c>
      <c r="O107" s="2"/>
    </row>
    <row r="108" spans="1:15" x14ac:dyDescent="0.35">
      <c r="A108" s="5">
        <v>46357</v>
      </c>
      <c r="B108" s="2" t="s">
        <v>28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 t="str">
        <f t="shared" si="1"/>
        <v/>
      </c>
      <c r="O108" s="2"/>
    </row>
    <row r="109" spans="1:15" x14ac:dyDescent="0.35">
      <c r="A109" s="5">
        <v>46358</v>
      </c>
      <c r="B109" s="2" t="s">
        <v>29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 t="str">
        <f t="shared" si="1"/>
        <v/>
      </c>
      <c r="O109" s="2"/>
    </row>
    <row r="110" spans="1:15" x14ac:dyDescent="0.35">
      <c r="A110" s="5">
        <v>46359</v>
      </c>
      <c r="B110" s="2" t="s">
        <v>30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 t="str">
        <f t="shared" si="1"/>
        <v/>
      </c>
      <c r="O110" s="2"/>
    </row>
    <row r="111" spans="1:15" x14ac:dyDescent="0.35">
      <c r="A111" s="5">
        <v>46360</v>
      </c>
      <c r="B111" s="2" t="s">
        <v>31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 t="str">
        <f t="shared" si="1"/>
        <v/>
      </c>
      <c r="O111" s="2"/>
    </row>
    <row r="112" spans="1:15" x14ac:dyDescent="0.35">
      <c r="A112" s="5">
        <v>46361</v>
      </c>
      <c r="B112" s="2" t="s">
        <v>32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 t="str">
        <f t="shared" si="1"/>
        <v/>
      </c>
      <c r="O112" s="2"/>
    </row>
    <row r="113" spans="1:15" x14ac:dyDescent="0.35">
      <c r="A113" s="5">
        <v>46362</v>
      </c>
      <c r="B113" s="2" t="s">
        <v>33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 t="str">
        <f t="shared" si="1"/>
        <v/>
      </c>
      <c r="O113" s="2"/>
    </row>
    <row r="114" spans="1:15" x14ac:dyDescent="0.35">
      <c r="A114" s="5">
        <v>46363</v>
      </c>
      <c r="B114" s="2" t="s">
        <v>27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 t="str">
        <f t="shared" si="1"/>
        <v/>
      </c>
      <c r="O114" s="2"/>
    </row>
    <row r="115" spans="1:15" x14ac:dyDescent="0.35">
      <c r="A115" s="5">
        <v>46364</v>
      </c>
      <c r="B115" s="2" t="s">
        <v>28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 t="str">
        <f t="shared" si="1"/>
        <v/>
      </c>
      <c r="O115" s="2"/>
    </row>
    <row r="116" spans="1:15" x14ac:dyDescent="0.35">
      <c r="A116" s="5">
        <v>46365</v>
      </c>
      <c r="B116" s="2" t="s">
        <v>29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 t="str">
        <f t="shared" si="1"/>
        <v/>
      </c>
      <c r="O116" s="2"/>
    </row>
    <row r="117" spans="1:15" x14ac:dyDescent="0.35">
      <c r="A117" s="5">
        <v>46366</v>
      </c>
      <c r="B117" s="2" t="s">
        <v>30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 t="str">
        <f t="shared" si="1"/>
        <v/>
      </c>
      <c r="O117" s="2"/>
    </row>
    <row r="118" spans="1:15" x14ac:dyDescent="0.35">
      <c r="A118" s="5">
        <v>46367</v>
      </c>
      <c r="B118" s="2" t="s">
        <v>31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 t="str">
        <f t="shared" si="1"/>
        <v/>
      </c>
      <c r="O118" s="2"/>
    </row>
    <row r="119" spans="1:15" x14ac:dyDescent="0.35">
      <c r="A119" s="5">
        <v>46368</v>
      </c>
      <c r="B119" s="2" t="s">
        <v>32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 t="str">
        <f t="shared" si="1"/>
        <v/>
      </c>
      <c r="O119" s="2"/>
    </row>
    <row r="120" spans="1:15" x14ac:dyDescent="0.35">
      <c r="A120" s="5">
        <v>46369</v>
      </c>
      <c r="B120" s="2" t="s">
        <v>33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 t="str">
        <f t="shared" si="1"/>
        <v/>
      </c>
      <c r="O120" s="2"/>
    </row>
    <row r="121" spans="1:15" x14ac:dyDescent="0.35">
      <c r="A121" s="5">
        <v>46370</v>
      </c>
      <c r="B121" s="2" t="s">
        <v>27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 t="str">
        <f t="shared" si="1"/>
        <v/>
      </c>
      <c r="O121" s="2"/>
    </row>
    <row r="122" spans="1:15" x14ac:dyDescent="0.35">
      <c r="A122" s="5">
        <v>46371</v>
      </c>
      <c r="B122" s="2" t="s">
        <v>28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 t="str">
        <f t="shared" si="1"/>
        <v/>
      </c>
      <c r="O122" s="2"/>
    </row>
    <row r="123" spans="1:15" x14ac:dyDescent="0.35">
      <c r="A123" s="5">
        <v>46372</v>
      </c>
      <c r="B123" s="2" t="s">
        <v>29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 t="str">
        <f t="shared" si="1"/>
        <v/>
      </c>
      <c r="O123" s="2"/>
    </row>
    <row r="124" spans="1:15" x14ac:dyDescent="0.35">
      <c r="A124" s="5">
        <v>46373</v>
      </c>
      <c r="B124" s="2" t="s">
        <v>30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 t="str">
        <f t="shared" si="1"/>
        <v/>
      </c>
      <c r="O124" s="2"/>
    </row>
    <row r="125" spans="1:15" x14ac:dyDescent="0.35">
      <c r="A125" s="5">
        <v>46374</v>
      </c>
      <c r="B125" s="2" t="s">
        <v>31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 t="str">
        <f t="shared" si="1"/>
        <v/>
      </c>
      <c r="O125" s="2"/>
    </row>
    <row r="126" spans="1:15" x14ac:dyDescent="0.35">
      <c r="A126" s="5">
        <v>46375</v>
      </c>
      <c r="B126" s="2" t="s">
        <v>32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 t="str">
        <f t="shared" si="1"/>
        <v/>
      </c>
      <c r="O126" s="2"/>
    </row>
    <row r="127" spans="1:15" x14ac:dyDescent="0.35">
      <c r="A127" s="5">
        <v>46376</v>
      </c>
      <c r="B127" s="2" t="s">
        <v>33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 t="str">
        <f t="shared" si="1"/>
        <v/>
      </c>
      <c r="O127" s="2"/>
    </row>
    <row r="128" spans="1:15" x14ac:dyDescent="0.35">
      <c r="A128" s="5">
        <v>46377</v>
      </c>
      <c r="B128" s="2" t="s">
        <v>27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 t="str">
        <f t="shared" si="1"/>
        <v/>
      </c>
      <c r="O128" s="2"/>
    </row>
    <row r="129" spans="1:15" x14ac:dyDescent="0.35">
      <c r="A129" s="5">
        <v>46378</v>
      </c>
      <c r="B129" s="2" t="s">
        <v>28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 t="str">
        <f t="shared" si="1"/>
        <v/>
      </c>
      <c r="O129" s="2"/>
    </row>
    <row r="130" spans="1:15" x14ac:dyDescent="0.35">
      <c r="A130" s="5">
        <v>46379</v>
      </c>
      <c r="B130" s="2" t="s">
        <v>29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 t="str">
        <f t="shared" ref="N130:N193" si="2">IF(COUNTA(C130:M130)=0,"",COUNTIF(C130:M130,"✓")/11)</f>
        <v/>
      </c>
      <c r="O130" s="2"/>
    </row>
    <row r="131" spans="1:15" x14ac:dyDescent="0.35">
      <c r="A131" s="5">
        <v>46380</v>
      </c>
      <c r="B131" s="2" t="s">
        <v>30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 t="str">
        <f t="shared" si="2"/>
        <v/>
      </c>
      <c r="O131" s="2"/>
    </row>
    <row r="132" spans="1:15" x14ac:dyDescent="0.35">
      <c r="A132" s="5">
        <v>46381</v>
      </c>
      <c r="B132" s="2" t="s">
        <v>31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 t="str">
        <f t="shared" si="2"/>
        <v/>
      </c>
      <c r="O132" s="2"/>
    </row>
    <row r="133" spans="1:15" x14ac:dyDescent="0.35">
      <c r="A133" s="5">
        <v>46382</v>
      </c>
      <c r="B133" s="2" t="s">
        <v>32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 t="str">
        <f t="shared" si="2"/>
        <v/>
      </c>
      <c r="O133" s="2"/>
    </row>
    <row r="134" spans="1:15" x14ac:dyDescent="0.35">
      <c r="A134" s="5">
        <v>46383</v>
      </c>
      <c r="B134" s="2" t="s">
        <v>33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 t="str">
        <f t="shared" si="2"/>
        <v/>
      </c>
      <c r="O134" s="2"/>
    </row>
    <row r="135" spans="1:15" x14ac:dyDescent="0.35">
      <c r="A135" s="5">
        <v>46384</v>
      </c>
      <c r="B135" s="2" t="s">
        <v>27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 t="str">
        <f t="shared" si="2"/>
        <v/>
      </c>
      <c r="O135" s="2"/>
    </row>
    <row r="136" spans="1:15" x14ac:dyDescent="0.35">
      <c r="A136" s="5">
        <v>46385</v>
      </c>
      <c r="B136" s="2" t="s">
        <v>28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 t="str">
        <f t="shared" si="2"/>
        <v/>
      </c>
      <c r="O136" s="2"/>
    </row>
    <row r="137" spans="1:15" x14ac:dyDescent="0.35">
      <c r="A137" s="5">
        <v>46386</v>
      </c>
      <c r="B137" s="2" t="s">
        <v>29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 t="str">
        <f t="shared" si="2"/>
        <v/>
      </c>
      <c r="O137" s="2"/>
    </row>
    <row r="138" spans="1:15" x14ac:dyDescent="0.35">
      <c r="A138" s="5">
        <v>46387</v>
      </c>
      <c r="B138" s="2" t="s">
        <v>30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 t="str">
        <f t="shared" si="2"/>
        <v/>
      </c>
      <c r="O138" s="2"/>
    </row>
    <row r="139" spans="1:15" x14ac:dyDescent="0.35">
      <c r="A139" s="5">
        <v>46388</v>
      </c>
      <c r="B139" s="2" t="s">
        <v>31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 t="str">
        <f t="shared" si="2"/>
        <v/>
      </c>
      <c r="O139" s="2"/>
    </row>
    <row r="140" spans="1:15" x14ac:dyDescent="0.35">
      <c r="A140" s="5">
        <v>46389</v>
      </c>
      <c r="B140" s="2" t="s">
        <v>32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 t="str">
        <f t="shared" si="2"/>
        <v/>
      </c>
      <c r="O140" s="2"/>
    </row>
    <row r="141" spans="1:15" x14ac:dyDescent="0.35">
      <c r="A141" s="5">
        <v>46390</v>
      </c>
      <c r="B141" s="2" t="s">
        <v>33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 t="str">
        <f t="shared" si="2"/>
        <v/>
      </c>
      <c r="O141" s="2"/>
    </row>
    <row r="142" spans="1:15" x14ac:dyDescent="0.35">
      <c r="A142" s="5">
        <v>46391</v>
      </c>
      <c r="B142" s="2" t="s">
        <v>27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 t="str">
        <f t="shared" si="2"/>
        <v/>
      </c>
      <c r="O142" s="2"/>
    </row>
    <row r="143" spans="1:15" x14ac:dyDescent="0.35">
      <c r="A143" s="5">
        <v>46392</v>
      </c>
      <c r="B143" s="2" t="s">
        <v>28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 t="str">
        <f t="shared" si="2"/>
        <v/>
      </c>
      <c r="O143" s="2"/>
    </row>
    <row r="144" spans="1:15" x14ac:dyDescent="0.35">
      <c r="A144" s="5">
        <v>46393</v>
      </c>
      <c r="B144" s="2" t="s">
        <v>29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 t="str">
        <f t="shared" si="2"/>
        <v/>
      </c>
      <c r="O144" s="2"/>
    </row>
    <row r="145" spans="1:15" x14ac:dyDescent="0.35">
      <c r="A145" s="5">
        <v>46394</v>
      </c>
      <c r="B145" s="2" t="s">
        <v>30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 t="str">
        <f t="shared" si="2"/>
        <v/>
      </c>
      <c r="O145" s="2"/>
    </row>
    <row r="146" spans="1:15" x14ac:dyDescent="0.35">
      <c r="A146" s="5">
        <v>46395</v>
      </c>
      <c r="B146" s="2" t="s">
        <v>31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 t="str">
        <f t="shared" si="2"/>
        <v/>
      </c>
      <c r="O146" s="2"/>
    </row>
    <row r="147" spans="1:15" x14ac:dyDescent="0.35">
      <c r="A147" s="5">
        <v>46396</v>
      </c>
      <c r="B147" s="2" t="s">
        <v>32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 t="str">
        <f t="shared" si="2"/>
        <v/>
      </c>
      <c r="O147" s="2"/>
    </row>
    <row r="148" spans="1:15" x14ac:dyDescent="0.35">
      <c r="A148" s="5">
        <v>46397</v>
      </c>
      <c r="B148" s="2" t="s">
        <v>33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 t="str">
        <f t="shared" si="2"/>
        <v/>
      </c>
      <c r="O148" s="2"/>
    </row>
    <row r="149" spans="1:15" x14ac:dyDescent="0.35">
      <c r="A149" s="5">
        <v>46398</v>
      </c>
      <c r="B149" s="2" t="s">
        <v>27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 t="str">
        <f t="shared" si="2"/>
        <v/>
      </c>
      <c r="O149" s="2"/>
    </row>
    <row r="150" spans="1:15" x14ac:dyDescent="0.35">
      <c r="A150" s="5">
        <v>46399</v>
      </c>
      <c r="B150" s="2" t="s">
        <v>28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 t="str">
        <f t="shared" si="2"/>
        <v/>
      </c>
      <c r="O150" s="2"/>
    </row>
    <row r="151" spans="1:15" x14ac:dyDescent="0.35">
      <c r="A151" s="5">
        <v>46400</v>
      </c>
      <c r="B151" s="2" t="s">
        <v>29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 t="str">
        <f t="shared" si="2"/>
        <v/>
      </c>
      <c r="O151" s="2"/>
    </row>
    <row r="152" spans="1:15" x14ac:dyDescent="0.35">
      <c r="A152" s="5">
        <v>46401</v>
      </c>
      <c r="B152" s="2" t="s">
        <v>30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 t="str">
        <f t="shared" si="2"/>
        <v/>
      </c>
      <c r="O152" s="2"/>
    </row>
    <row r="153" spans="1:15" x14ac:dyDescent="0.35">
      <c r="A153" s="5">
        <v>46402</v>
      </c>
      <c r="B153" s="2" t="s">
        <v>31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 t="str">
        <f t="shared" si="2"/>
        <v/>
      </c>
      <c r="O153" s="2"/>
    </row>
    <row r="154" spans="1:15" x14ac:dyDescent="0.35">
      <c r="A154" s="5">
        <v>46403</v>
      </c>
      <c r="B154" s="2" t="s">
        <v>32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 t="str">
        <f t="shared" si="2"/>
        <v/>
      </c>
      <c r="O154" s="2"/>
    </row>
    <row r="155" spans="1:15" x14ac:dyDescent="0.35">
      <c r="A155" s="5">
        <v>46404</v>
      </c>
      <c r="B155" s="2" t="s">
        <v>33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 t="str">
        <f t="shared" si="2"/>
        <v/>
      </c>
      <c r="O155" s="2"/>
    </row>
    <row r="156" spans="1:15" x14ac:dyDescent="0.35">
      <c r="A156" s="5">
        <v>46405</v>
      </c>
      <c r="B156" s="2" t="s">
        <v>27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 t="str">
        <f t="shared" si="2"/>
        <v/>
      </c>
      <c r="O156" s="2"/>
    </row>
    <row r="157" spans="1:15" x14ac:dyDescent="0.35">
      <c r="A157" s="5">
        <v>46406</v>
      </c>
      <c r="B157" s="2" t="s">
        <v>28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 t="str">
        <f t="shared" si="2"/>
        <v/>
      </c>
      <c r="O157" s="2"/>
    </row>
    <row r="158" spans="1:15" x14ac:dyDescent="0.35">
      <c r="A158" s="5">
        <v>46407</v>
      </c>
      <c r="B158" s="2" t="s">
        <v>29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 t="str">
        <f t="shared" si="2"/>
        <v/>
      </c>
      <c r="O158" s="2"/>
    </row>
    <row r="159" spans="1:15" x14ac:dyDescent="0.35">
      <c r="A159" s="5">
        <v>46408</v>
      </c>
      <c r="B159" s="2" t="s">
        <v>30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 t="str">
        <f t="shared" si="2"/>
        <v/>
      </c>
      <c r="O159" s="2"/>
    </row>
    <row r="160" spans="1:15" x14ac:dyDescent="0.35">
      <c r="A160" s="5">
        <v>46409</v>
      </c>
      <c r="B160" s="2" t="s">
        <v>31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 t="str">
        <f t="shared" si="2"/>
        <v/>
      </c>
      <c r="O160" s="2"/>
    </row>
    <row r="161" spans="1:15" x14ac:dyDescent="0.35">
      <c r="A161" s="5">
        <v>46410</v>
      </c>
      <c r="B161" s="2" t="s">
        <v>32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 t="str">
        <f t="shared" si="2"/>
        <v/>
      </c>
      <c r="O161" s="2"/>
    </row>
    <row r="162" spans="1:15" x14ac:dyDescent="0.35">
      <c r="A162" s="5">
        <v>46411</v>
      </c>
      <c r="B162" s="2" t="s">
        <v>33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 t="str">
        <f t="shared" si="2"/>
        <v/>
      </c>
      <c r="O162" s="2"/>
    </row>
    <row r="163" spans="1:15" x14ac:dyDescent="0.35">
      <c r="A163" s="5">
        <v>46412</v>
      </c>
      <c r="B163" s="2" t="s">
        <v>27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 t="str">
        <f t="shared" si="2"/>
        <v/>
      </c>
      <c r="O163" s="2"/>
    </row>
    <row r="164" spans="1:15" x14ac:dyDescent="0.35">
      <c r="A164" s="5">
        <v>46413</v>
      </c>
      <c r="B164" s="2" t="s">
        <v>28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 t="str">
        <f t="shared" si="2"/>
        <v/>
      </c>
      <c r="O164" s="2"/>
    </row>
    <row r="165" spans="1:15" x14ac:dyDescent="0.35">
      <c r="A165" s="5">
        <v>46414</v>
      </c>
      <c r="B165" s="2" t="s">
        <v>29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 t="str">
        <f t="shared" si="2"/>
        <v/>
      </c>
      <c r="O165" s="2"/>
    </row>
    <row r="166" spans="1:15" x14ac:dyDescent="0.35">
      <c r="A166" s="5">
        <v>46415</v>
      </c>
      <c r="B166" s="2" t="s">
        <v>30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 t="str">
        <f t="shared" si="2"/>
        <v/>
      </c>
      <c r="O166" s="2"/>
    </row>
    <row r="167" spans="1:15" x14ac:dyDescent="0.35">
      <c r="A167" s="5">
        <v>46416</v>
      </c>
      <c r="B167" s="2" t="s">
        <v>31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 t="str">
        <f t="shared" si="2"/>
        <v/>
      </c>
      <c r="O167" s="2"/>
    </row>
    <row r="168" spans="1:15" x14ac:dyDescent="0.35">
      <c r="A168" s="5">
        <v>46417</v>
      </c>
      <c r="B168" s="2" t="s">
        <v>32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 t="str">
        <f t="shared" si="2"/>
        <v/>
      </c>
      <c r="O168" s="2"/>
    </row>
    <row r="169" spans="1:15" x14ac:dyDescent="0.35">
      <c r="A169" s="5">
        <v>46418</v>
      </c>
      <c r="B169" s="2" t="s">
        <v>33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 t="str">
        <f t="shared" si="2"/>
        <v/>
      </c>
      <c r="O169" s="2"/>
    </row>
    <row r="170" spans="1:15" x14ac:dyDescent="0.35">
      <c r="A170" s="5">
        <v>46419</v>
      </c>
      <c r="B170" s="2" t="s">
        <v>27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 t="str">
        <f t="shared" si="2"/>
        <v/>
      </c>
      <c r="O170" s="2"/>
    </row>
    <row r="171" spans="1:15" x14ac:dyDescent="0.35">
      <c r="A171" s="5">
        <v>46420</v>
      </c>
      <c r="B171" s="2" t="s">
        <v>28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 t="str">
        <f t="shared" si="2"/>
        <v/>
      </c>
      <c r="O171" s="2"/>
    </row>
    <row r="172" spans="1:15" x14ac:dyDescent="0.35">
      <c r="A172" s="5">
        <v>46421</v>
      </c>
      <c r="B172" s="2" t="s">
        <v>29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 t="str">
        <f t="shared" si="2"/>
        <v/>
      </c>
      <c r="O172" s="2"/>
    </row>
    <row r="173" spans="1:15" x14ac:dyDescent="0.35">
      <c r="A173" s="5">
        <v>46422</v>
      </c>
      <c r="B173" s="2" t="s">
        <v>30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 t="str">
        <f t="shared" si="2"/>
        <v/>
      </c>
      <c r="O173" s="2"/>
    </row>
    <row r="174" spans="1:15" x14ac:dyDescent="0.35">
      <c r="A174" s="5">
        <v>46423</v>
      </c>
      <c r="B174" s="2" t="s">
        <v>31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 t="str">
        <f t="shared" si="2"/>
        <v/>
      </c>
      <c r="O174" s="2"/>
    </row>
    <row r="175" spans="1:15" x14ac:dyDescent="0.35">
      <c r="A175" s="5">
        <v>46424</v>
      </c>
      <c r="B175" s="2" t="s">
        <v>32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 t="str">
        <f t="shared" si="2"/>
        <v/>
      </c>
      <c r="O175" s="2"/>
    </row>
    <row r="176" spans="1:15" x14ac:dyDescent="0.35">
      <c r="A176" s="5">
        <v>46425</v>
      </c>
      <c r="B176" s="2" t="s">
        <v>33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 t="str">
        <f t="shared" si="2"/>
        <v/>
      </c>
      <c r="O176" s="2"/>
    </row>
    <row r="177" spans="1:15" x14ac:dyDescent="0.35">
      <c r="A177" s="5">
        <v>46426</v>
      </c>
      <c r="B177" s="2" t="s">
        <v>27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 t="str">
        <f t="shared" si="2"/>
        <v/>
      </c>
      <c r="O177" s="2"/>
    </row>
    <row r="178" spans="1:15" x14ac:dyDescent="0.35">
      <c r="A178" s="5">
        <v>46427</v>
      </c>
      <c r="B178" s="2" t="s">
        <v>28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 t="str">
        <f t="shared" si="2"/>
        <v/>
      </c>
      <c r="O178" s="2"/>
    </row>
    <row r="179" spans="1:15" x14ac:dyDescent="0.35">
      <c r="A179" s="5">
        <v>46428</v>
      </c>
      <c r="B179" s="2" t="s">
        <v>29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 t="str">
        <f t="shared" si="2"/>
        <v/>
      </c>
      <c r="O179" s="2"/>
    </row>
    <row r="180" spans="1:15" x14ac:dyDescent="0.35">
      <c r="A180" s="5">
        <v>46429</v>
      </c>
      <c r="B180" s="2" t="s">
        <v>30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 t="str">
        <f t="shared" si="2"/>
        <v/>
      </c>
      <c r="O180" s="2"/>
    </row>
    <row r="181" spans="1:15" x14ac:dyDescent="0.35">
      <c r="A181" s="5">
        <v>46430</v>
      </c>
      <c r="B181" s="2" t="s">
        <v>31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 t="str">
        <f t="shared" si="2"/>
        <v/>
      </c>
      <c r="O181" s="2"/>
    </row>
    <row r="182" spans="1:15" x14ac:dyDescent="0.35">
      <c r="A182" s="5">
        <v>46431</v>
      </c>
      <c r="B182" s="2" t="s">
        <v>32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 t="str">
        <f t="shared" si="2"/>
        <v/>
      </c>
      <c r="O182" s="2"/>
    </row>
    <row r="183" spans="1:15" x14ac:dyDescent="0.35">
      <c r="A183" s="5">
        <v>46432</v>
      </c>
      <c r="B183" s="2" t="s">
        <v>33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 t="str">
        <f t="shared" si="2"/>
        <v/>
      </c>
      <c r="O183" s="2"/>
    </row>
    <row r="184" spans="1:15" x14ac:dyDescent="0.35">
      <c r="A184" s="5">
        <v>46433</v>
      </c>
      <c r="B184" s="2" t="s">
        <v>27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 t="str">
        <f t="shared" si="2"/>
        <v/>
      </c>
      <c r="O184" s="2"/>
    </row>
    <row r="185" spans="1:15" x14ac:dyDescent="0.35">
      <c r="A185" s="5">
        <v>46434</v>
      </c>
      <c r="B185" s="2" t="s">
        <v>28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 t="str">
        <f t="shared" si="2"/>
        <v/>
      </c>
      <c r="O185" s="2"/>
    </row>
    <row r="186" spans="1:15" x14ac:dyDescent="0.35">
      <c r="A186" s="5">
        <v>46435</v>
      </c>
      <c r="B186" s="2" t="s">
        <v>29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 t="str">
        <f t="shared" si="2"/>
        <v/>
      </c>
      <c r="O186" s="2"/>
    </row>
    <row r="187" spans="1:15" x14ac:dyDescent="0.35">
      <c r="A187" s="5">
        <v>46436</v>
      </c>
      <c r="B187" s="2" t="s">
        <v>30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 t="str">
        <f t="shared" si="2"/>
        <v/>
      </c>
      <c r="O187" s="2"/>
    </row>
    <row r="188" spans="1:15" x14ac:dyDescent="0.35">
      <c r="A188" s="5">
        <v>46437</v>
      </c>
      <c r="B188" s="2" t="s">
        <v>31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 t="str">
        <f t="shared" si="2"/>
        <v/>
      </c>
      <c r="O188" s="2"/>
    </row>
    <row r="189" spans="1:15" x14ac:dyDescent="0.35">
      <c r="A189" s="5">
        <v>46438</v>
      </c>
      <c r="B189" s="2" t="s">
        <v>32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 t="str">
        <f t="shared" si="2"/>
        <v/>
      </c>
      <c r="O189" s="2"/>
    </row>
    <row r="190" spans="1:15" x14ac:dyDescent="0.35">
      <c r="A190" s="5">
        <v>46439</v>
      </c>
      <c r="B190" s="2" t="s">
        <v>33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 t="str">
        <f t="shared" si="2"/>
        <v/>
      </c>
      <c r="O190" s="2"/>
    </row>
    <row r="191" spans="1:15" x14ac:dyDescent="0.35">
      <c r="A191" s="5">
        <v>46440</v>
      </c>
      <c r="B191" s="2" t="s">
        <v>27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 t="str">
        <f t="shared" si="2"/>
        <v/>
      </c>
      <c r="O191" s="2"/>
    </row>
    <row r="192" spans="1:15" x14ac:dyDescent="0.35">
      <c r="A192" s="5">
        <v>46441</v>
      </c>
      <c r="B192" s="2" t="s">
        <v>28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 t="str">
        <f t="shared" si="2"/>
        <v/>
      </c>
      <c r="O192" s="2"/>
    </row>
    <row r="193" spans="1:15" x14ac:dyDescent="0.35">
      <c r="A193" s="5">
        <v>46442</v>
      </c>
      <c r="B193" s="2" t="s">
        <v>29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 t="str">
        <f t="shared" si="2"/>
        <v/>
      </c>
      <c r="O193" s="2"/>
    </row>
    <row r="194" spans="1:15" x14ac:dyDescent="0.35">
      <c r="A194" s="5">
        <v>46443</v>
      </c>
      <c r="B194" s="2" t="s">
        <v>30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 t="str">
        <f t="shared" ref="N194:N257" si="3">IF(COUNTA(C194:M194)=0,"",COUNTIF(C194:M194,"✓")/11)</f>
        <v/>
      </c>
      <c r="O194" s="2"/>
    </row>
    <row r="195" spans="1:15" x14ac:dyDescent="0.35">
      <c r="A195" s="5">
        <v>46444</v>
      </c>
      <c r="B195" s="2" t="s">
        <v>31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 t="str">
        <f t="shared" si="3"/>
        <v/>
      </c>
      <c r="O195" s="2"/>
    </row>
    <row r="196" spans="1:15" x14ac:dyDescent="0.35">
      <c r="A196" s="5">
        <v>46445</v>
      </c>
      <c r="B196" s="2" t="s">
        <v>32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 t="str">
        <f t="shared" si="3"/>
        <v/>
      </c>
      <c r="O196" s="2"/>
    </row>
    <row r="197" spans="1:15" x14ac:dyDescent="0.35">
      <c r="A197" s="5">
        <v>46446</v>
      </c>
      <c r="B197" s="2" t="s">
        <v>33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 t="str">
        <f t="shared" si="3"/>
        <v/>
      </c>
      <c r="O197" s="2"/>
    </row>
    <row r="198" spans="1:15" x14ac:dyDescent="0.35">
      <c r="A198" s="5">
        <v>46447</v>
      </c>
      <c r="B198" s="2" t="s">
        <v>27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 t="str">
        <f t="shared" si="3"/>
        <v/>
      </c>
      <c r="O198" s="2"/>
    </row>
    <row r="199" spans="1:15" x14ac:dyDescent="0.35">
      <c r="A199" s="5">
        <v>46448</v>
      </c>
      <c r="B199" s="2" t="s">
        <v>28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 t="str">
        <f t="shared" si="3"/>
        <v/>
      </c>
      <c r="O199" s="2"/>
    </row>
    <row r="200" spans="1:15" x14ac:dyDescent="0.35">
      <c r="A200" s="5">
        <v>46449</v>
      </c>
      <c r="B200" s="2" t="s">
        <v>29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 t="str">
        <f t="shared" si="3"/>
        <v/>
      </c>
      <c r="O200" s="2"/>
    </row>
    <row r="201" spans="1:15" x14ac:dyDescent="0.35">
      <c r="A201" s="5">
        <v>46450</v>
      </c>
      <c r="B201" s="2" t="s">
        <v>30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 t="str">
        <f t="shared" si="3"/>
        <v/>
      </c>
      <c r="O201" s="2"/>
    </row>
    <row r="202" spans="1:15" x14ac:dyDescent="0.35">
      <c r="A202" s="5">
        <v>46451</v>
      </c>
      <c r="B202" s="2" t="s">
        <v>31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 t="str">
        <f t="shared" si="3"/>
        <v/>
      </c>
      <c r="O202" s="2"/>
    </row>
    <row r="203" spans="1:15" x14ac:dyDescent="0.35">
      <c r="A203" s="5">
        <v>46452</v>
      </c>
      <c r="B203" s="2" t="s">
        <v>32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 t="str">
        <f t="shared" si="3"/>
        <v/>
      </c>
      <c r="O203" s="2"/>
    </row>
    <row r="204" spans="1:15" x14ac:dyDescent="0.35">
      <c r="A204" s="5">
        <v>46453</v>
      </c>
      <c r="B204" s="2" t="s">
        <v>33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 t="str">
        <f t="shared" si="3"/>
        <v/>
      </c>
      <c r="O204" s="2"/>
    </row>
    <row r="205" spans="1:15" x14ac:dyDescent="0.35">
      <c r="A205" s="5">
        <v>46454</v>
      </c>
      <c r="B205" s="2" t="s">
        <v>27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 t="str">
        <f t="shared" si="3"/>
        <v/>
      </c>
      <c r="O205" s="2"/>
    </row>
    <row r="206" spans="1:15" x14ac:dyDescent="0.35">
      <c r="A206" s="5">
        <v>46455</v>
      </c>
      <c r="B206" s="2" t="s">
        <v>28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 t="str">
        <f t="shared" si="3"/>
        <v/>
      </c>
      <c r="O206" s="2"/>
    </row>
    <row r="207" spans="1:15" x14ac:dyDescent="0.35">
      <c r="A207" s="5">
        <v>46456</v>
      </c>
      <c r="B207" s="2" t="s">
        <v>29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 t="str">
        <f t="shared" si="3"/>
        <v/>
      </c>
      <c r="O207" s="2"/>
    </row>
    <row r="208" spans="1:15" x14ac:dyDescent="0.35">
      <c r="A208" s="5">
        <v>46457</v>
      </c>
      <c r="B208" s="2" t="s">
        <v>30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 t="str">
        <f t="shared" si="3"/>
        <v/>
      </c>
      <c r="O208" s="2"/>
    </row>
    <row r="209" spans="1:15" x14ac:dyDescent="0.35">
      <c r="A209" s="5">
        <v>46458</v>
      </c>
      <c r="B209" s="2" t="s">
        <v>31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 t="str">
        <f t="shared" si="3"/>
        <v/>
      </c>
      <c r="O209" s="2"/>
    </row>
    <row r="210" spans="1:15" x14ac:dyDescent="0.35">
      <c r="A210" s="5">
        <v>46459</v>
      </c>
      <c r="B210" s="2" t="s">
        <v>32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 t="str">
        <f t="shared" si="3"/>
        <v/>
      </c>
      <c r="O210" s="2"/>
    </row>
    <row r="211" spans="1:15" x14ac:dyDescent="0.35">
      <c r="A211" s="5">
        <v>46460</v>
      </c>
      <c r="B211" s="2" t="s">
        <v>33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 t="str">
        <f t="shared" si="3"/>
        <v/>
      </c>
      <c r="O211" s="2"/>
    </row>
    <row r="212" spans="1:15" x14ac:dyDescent="0.35">
      <c r="A212" s="5">
        <v>46461</v>
      </c>
      <c r="B212" s="2" t="s">
        <v>27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 t="str">
        <f t="shared" si="3"/>
        <v/>
      </c>
      <c r="O212" s="2"/>
    </row>
    <row r="213" spans="1:15" x14ac:dyDescent="0.35">
      <c r="A213" s="5">
        <v>46462</v>
      </c>
      <c r="B213" s="2" t="s">
        <v>28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 t="str">
        <f t="shared" si="3"/>
        <v/>
      </c>
      <c r="O213" s="2"/>
    </row>
    <row r="214" spans="1:15" x14ac:dyDescent="0.35">
      <c r="A214" s="5">
        <v>46463</v>
      </c>
      <c r="B214" s="2" t="s">
        <v>29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 t="str">
        <f t="shared" si="3"/>
        <v/>
      </c>
      <c r="O214" s="2"/>
    </row>
    <row r="215" spans="1:15" x14ac:dyDescent="0.35">
      <c r="A215" s="5">
        <v>46464</v>
      </c>
      <c r="B215" s="2" t="s">
        <v>30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 t="str">
        <f t="shared" si="3"/>
        <v/>
      </c>
      <c r="O215" s="2"/>
    </row>
    <row r="216" spans="1:15" x14ac:dyDescent="0.35">
      <c r="A216" s="5">
        <v>46465</v>
      </c>
      <c r="B216" s="2" t="s">
        <v>31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 t="str">
        <f t="shared" si="3"/>
        <v/>
      </c>
      <c r="O216" s="2"/>
    </row>
    <row r="217" spans="1:15" x14ac:dyDescent="0.35">
      <c r="A217" s="5">
        <v>46466</v>
      </c>
      <c r="B217" s="2" t="s">
        <v>32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 t="str">
        <f t="shared" si="3"/>
        <v/>
      </c>
      <c r="O217" s="2"/>
    </row>
    <row r="218" spans="1:15" x14ac:dyDescent="0.35">
      <c r="A218" s="5">
        <v>46467</v>
      </c>
      <c r="B218" s="2" t="s">
        <v>33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 t="str">
        <f t="shared" si="3"/>
        <v/>
      </c>
      <c r="O218" s="2"/>
    </row>
    <row r="219" spans="1:15" x14ac:dyDescent="0.35">
      <c r="A219" s="5">
        <v>46468</v>
      </c>
      <c r="B219" s="2" t="s">
        <v>27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 t="str">
        <f t="shared" si="3"/>
        <v/>
      </c>
      <c r="O219" s="2"/>
    </row>
    <row r="220" spans="1:15" x14ac:dyDescent="0.35">
      <c r="A220" s="5">
        <v>46469</v>
      </c>
      <c r="B220" s="2" t="s">
        <v>28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 t="str">
        <f t="shared" si="3"/>
        <v/>
      </c>
      <c r="O220" s="2"/>
    </row>
    <row r="221" spans="1:15" x14ac:dyDescent="0.35">
      <c r="A221" s="5">
        <v>46470</v>
      </c>
      <c r="B221" s="2" t="s">
        <v>29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 t="str">
        <f t="shared" si="3"/>
        <v/>
      </c>
      <c r="O221" s="2"/>
    </row>
    <row r="222" spans="1:15" x14ac:dyDescent="0.35">
      <c r="A222" s="5">
        <v>46471</v>
      </c>
      <c r="B222" s="2" t="s">
        <v>30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 t="str">
        <f t="shared" si="3"/>
        <v/>
      </c>
      <c r="O222" s="2"/>
    </row>
    <row r="223" spans="1:15" x14ac:dyDescent="0.35">
      <c r="A223" s="5">
        <v>46472</v>
      </c>
      <c r="B223" s="2" t="s">
        <v>31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 t="str">
        <f t="shared" si="3"/>
        <v/>
      </c>
      <c r="O223" s="2"/>
    </row>
    <row r="224" spans="1:15" x14ac:dyDescent="0.35">
      <c r="A224" s="5">
        <v>46473</v>
      </c>
      <c r="B224" s="2" t="s">
        <v>32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 t="str">
        <f t="shared" si="3"/>
        <v/>
      </c>
      <c r="O224" s="2"/>
    </row>
    <row r="225" spans="1:15" x14ac:dyDescent="0.35">
      <c r="A225" s="5">
        <v>46474</v>
      </c>
      <c r="B225" s="2" t="s">
        <v>33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 t="str">
        <f t="shared" si="3"/>
        <v/>
      </c>
      <c r="O225" s="2"/>
    </row>
    <row r="226" spans="1:15" x14ac:dyDescent="0.35">
      <c r="A226" s="5">
        <v>46475</v>
      </c>
      <c r="B226" s="2" t="s">
        <v>27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 t="str">
        <f t="shared" si="3"/>
        <v/>
      </c>
      <c r="O226" s="2"/>
    </row>
    <row r="227" spans="1:15" x14ac:dyDescent="0.35">
      <c r="A227" s="5">
        <v>46476</v>
      </c>
      <c r="B227" s="2" t="s">
        <v>28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 t="str">
        <f t="shared" si="3"/>
        <v/>
      </c>
      <c r="O227" s="2"/>
    </row>
    <row r="228" spans="1:15" x14ac:dyDescent="0.35">
      <c r="A228" s="5">
        <v>46477</v>
      </c>
      <c r="B228" s="2" t="s">
        <v>29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 t="str">
        <f t="shared" si="3"/>
        <v/>
      </c>
      <c r="O228" s="2"/>
    </row>
    <row r="229" spans="1:15" x14ac:dyDescent="0.35">
      <c r="A229" s="5">
        <v>46478</v>
      </c>
      <c r="B229" s="2" t="s">
        <v>30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 t="str">
        <f t="shared" si="3"/>
        <v/>
      </c>
      <c r="O229" s="2"/>
    </row>
    <row r="230" spans="1:15" x14ac:dyDescent="0.35">
      <c r="A230" s="5">
        <v>46479</v>
      </c>
      <c r="B230" s="2" t="s">
        <v>31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 t="str">
        <f t="shared" si="3"/>
        <v/>
      </c>
      <c r="O230" s="2"/>
    </row>
    <row r="231" spans="1:15" x14ac:dyDescent="0.35">
      <c r="A231" s="5">
        <v>46480</v>
      </c>
      <c r="B231" s="2" t="s">
        <v>32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 t="str">
        <f t="shared" si="3"/>
        <v/>
      </c>
      <c r="O231" s="2"/>
    </row>
    <row r="232" spans="1:15" x14ac:dyDescent="0.35">
      <c r="A232" s="5">
        <v>46481</v>
      </c>
      <c r="B232" s="2" t="s">
        <v>33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 t="str">
        <f t="shared" si="3"/>
        <v/>
      </c>
      <c r="O232" s="2"/>
    </row>
    <row r="233" spans="1:15" x14ac:dyDescent="0.35">
      <c r="A233" s="5">
        <v>46482</v>
      </c>
      <c r="B233" s="2" t="s">
        <v>27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 t="str">
        <f t="shared" si="3"/>
        <v/>
      </c>
      <c r="O233" s="2"/>
    </row>
    <row r="234" spans="1:15" x14ac:dyDescent="0.35">
      <c r="A234" s="5">
        <v>46483</v>
      </c>
      <c r="B234" s="2" t="s">
        <v>28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 t="str">
        <f t="shared" si="3"/>
        <v/>
      </c>
      <c r="O234" s="2"/>
    </row>
    <row r="235" spans="1:15" x14ac:dyDescent="0.35">
      <c r="A235" s="5">
        <v>46484</v>
      </c>
      <c r="B235" s="2" t="s">
        <v>29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 t="str">
        <f t="shared" si="3"/>
        <v/>
      </c>
      <c r="O235" s="2"/>
    </row>
    <row r="236" spans="1:15" x14ac:dyDescent="0.35">
      <c r="A236" s="5">
        <v>46485</v>
      </c>
      <c r="B236" s="2" t="s">
        <v>30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 t="str">
        <f t="shared" si="3"/>
        <v/>
      </c>
      <c r="O236" s="2"/>
    </row>
    <row r="237" spans="1:15" x14ac:dyDescent="0.35">
      <c r="A237" s="5">
        <v>46486</v>
      </c>
      <c r="B237" s="2" t="s">
        <v>31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 t="str">
        <f t="shared" si="3"/>
        <v/>
      </c>
      <c r="O237" s="2"/>
    </row>
    <row r="238" spans="1:15" x14ac:dyDescent="0.35">
      <c r="A238" s="5">
        <v>46487</v>
      </c>
      <c r="B238" s="2" t="s">
        <v>32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 t="str">
        <f t="shared" si="3"/>
        <v/>
      </c>
      <c r="O238" s="2"/>
    </row>
    <row r="239" spans="1:15" x14ac:dyDescent="0.35">
      <c r="A239" s="5">
        <v>46488</v>
      </c>
      <c r="B239" s="2" t="s">
        <v>33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 t="str">
        <f t="shared" si="3"/>
        <v/>
      </c>
      <c r="O239" s="2"/>
    </row>
    <row r="240" spans="1:15" x14ac:dyDescent="0.35">
      <c r="A240" s="5">
        <v>46489</v>
      </c>
      <c r="B240" s="2" t="s">
        <v>27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 t="str">
        <f t="shared" si="3"/>
        <v/>
      </c>
      <c r="O240" s="2"/>
    </row>
    <row r="241" spans="1:15" x14ac:dyDescent="0.35">
      <c r="A241" s="5">
        <v>46490</v>
      </c>
      <c r="B241" s="2" t="s">
        <v>28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 t="str">
        <f t="shared" si="3"/>
        <v/>
      </c>
      <c r="O241" s="2"/>
    </row>
    <row r="242" spans="1:15" x14ac:dyDescent="0.35">
      <c r="A242" s="5">
        <v>46491</v>
      </c>
      <c r="B242" s="2" t="s">
        <v>29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 t="str">
        <f t="shared" si="3"/>
        <v/>
      </c>
      <c r="O242" s="2"/>
    </row>
    <row r="243" spans="1:15" x14ac:dyDescent="0.35">
      <c r="A243" s="5">
        <v>46492</v>
      </c>
      <c r="B243" s="2" t="s">
        <v>30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 t="str">
        <f t="shared" si="3"/>
        <v/>
      </c>
      <c r="O243" s="2"/>
    </row>
    <row r="244" spans="1:15" x14ac:dyDescent="0.35">
      <c r="A244" s="5">
        <v>46493</v>
      </c>
      <c r="B244" s="2" t="s">
        <v>31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 t="str">
        <f t="shared" si="3"/>
        <v/>
      </c>
      <c r="O244" s="2"/>
    </row>
    <row r="245" spans="1:15" x14ac:dyDescent="0.35">
      <c r="A245" s="5">
        <v>46494</v>
      </c>
      <c r="B245" s="2" t="s">
        <v>32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 t="str">
        <f t="shared" si="3"/>
        <v/>
      </c>
      <c r="O245" s="2"/>
    </row>
    <row r="246" spans="1:15" x14ac:dyDescent="0.35">
      <c r="A246" s="5">
        <v>46495</v>
      </c>
      <c r="B246" s="2" t="s">
        <v>33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 t="str">
        <f t="shared" si="3"/>
        <v/>
      </c>
      <c r="O246" s="2"/>
    </row>
    <row r="247" spans="1:15" x14ac:dyDescent="0.35">
      <c r="A247" s="5">
        <v>46496</v>
      </c>
      <c r="B247" s="2" t="s">
        <v>27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 t="str">
        <f t="shared" si="3"/>
        <v/>
      </c>
      <c r="O247" s="2"/>
    </row>
    <row r="248" spans="1:15" x14ac:dyDescent="0.35">
      <c r="A248" s="5">
        <v>46497</v>
      </c>
      <c r="B248" s="2" t="s">
        <v>28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 t="str">
        <f t="shared" si="3"/>
        <v/>
      </c>
      <c r="O248" s="2"/>
    </row>
    <row r="249" spans="1:15" x14ac:dyDescent="0.35">
      <c r="A249" s="5">
        <v>46498</v>
      </c>
      <c r="B249" s="2" t="s">
        <v>29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 t="str">
        <f t="shared" si="3"/>
        <v/>
      </c>
      <c r="O249" s="2"/>
    </row>
    <row r="250" spans="1:15" x14ac:dyDescent="0.35">
      <c r="A250" s="5">
        <v>46499</v>
      </c>
      <c r="B250" s="2" t="s">
        <v>30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 t="str">
        <f t="shared" si="3"/>
        <v/>
      </c>
      <c r="O250" s="2"/>
    </row>
    <row r="251" spans="1:15" x14ac:dyDescent="0.35">
      <c r="A251" s="5">
        <v>46500</v>
      </c>
      <c r="B251" s="2" t="s">
        <v>31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 t="str">
        <f t="shared" si="3"/>
        <v/>
      </c>
      <c r="O251" s="2"/>
    </row>
    <row r="252" spans="1:15" x14ac:dyDescent="0.35">
      <c r="A252" s="5">
        <v>46501</v>
      </c>
      <c r="B252" s="2" t="s">
        <v>32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 t="str">
        <f t="shared" si="3"/>
        <v/>
      </c>
      <c r="O252" s="2"/>
    </row>
    <row r="253" spans="1:15" x14ac:dyDescent="0.35">
      <c r="A253" s="5">
        <v>46502</v>
      </c>
      <c r="B253" s="2" t="s">
        <v>33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 t="str">
        <f t="shared" si="3"/>
        <v/>
      </c>
      <c r="O253" s="2"/>
    </row>
    <row r="254" spans="1:15" x14ac:dyDescent="0.35">
      <c r="A254" s="5">
        <v>46503</v>
      </c>
      <c r="B254" s="2" t="s">
        <v>27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 t="str">
        <f t="shared" si="3"/>
        <v/>
      </c>
      <c r="O254" s="2"/>
    </row>
    <row r="255" spans="1:15" x14ac:dyDescent="0.35">
      <c r="A255" s="5">
        <v>46504</v>
      </c>
      <c r="B255" s="2" t="s">
        <v>28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 t="str">
        <f t="shared" si="3"/>
        <v/>
      </c>
      <c r="O255" s="2"/>
    </row>
    <row r="256" spans="1:15" x14ac:dyDescent="0.35">
      <c r="A256" s="5">
        <v>46505</v>
      </c>
      <c r="B256" s="2" t="s">
        <v>29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 t="str">
        <f t="shared" si="3"/>
        <v/>
      </c>
      <c r="O256" s="2"/>
    </row>
    <row r="257" spans="1:15" x14ac:dyDescent="0.35">
      <c r="A257" s="5">
        <v>46506</v>
      </c>
      <c r="B257" s="2" t="s">
        <v>30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 t="str">
        <f t="shared" si="3"/>
        <v/>
      </c>
      <c r="O257" s="2"/>
    </row>
    <row r="258" spans="1:15" x14ac:dyDescent="0.35">
      <c r="A258" s="5">
        <v>46507</v>
      </c>
      <c r="B258" s="2" t="s">
        <v>31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 t="str">
        <f t="shared" ref="N258:N321" si="4">IF(COUNTA(C258:M258)=0,"",COUNTIF(C258:M258,"✓")/11)</f>
        <v/>
      </c>
      <c r="O258" s="2"/>
    </row>
    <row r="259" spans="1:15" x14ac:dyDescent="0.35">
      <c r="A259" s="5">
        <v>46508</v>
      </c>
      <c r="B259" s="2" t="s">
        <v>32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 t="str">
        <f t="shared" si="4"/>
        <v/>
      </c>
      <c r="O259" s="2"/>
    </row>
    <row r="260" spans="1:15" x14ac:dyDescent="0.35">
      <c r="A260" s="5">
        <v>46509</v>
      </c>
      <c r="B260" s="2" t="s">
        <v>33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 t="str">
        <f t="shared" si="4"/>
        <v/>
      </c>
      <c r="O260" s="2"/>
    </row>
    <row r="261" spans="1:15" x14ac:dyDescent="0.35">
      <c r="A261" s="5">
        <v>46510</v>
      </c>
      <c r="B261" s="2" t="s">
        <v>27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 t="str">
        <f t="shared" si="4"/>
        <v/>
      </c>
      <c r="O261" s="2"/>
    </row>
    <row r="262" spans="1:15" x14ac:dyDescent="0.35">
      <c r="A262" s="5">
        <v>46511</v>
      </c>
      <c r="B262" s="2" t="s">
        <v>28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 t="str">
        <f t="shared" si="4"/>
        <v/>
      </c>
      <c r="O262" s="2"/>
    </row>
    <row r="263" spans="1:15" x14ac:dyDescent="0.35">
      <c r="A263" s="5">
        <v>46512</v>
      </c>
      <c r="B263" s="2" t="s">
        <v>29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 t="str">
        <f t="shared" si="4"/>
        <v/>
      </c>
      <c r="O263" s="2"/>
    </row>
    <row r="264" spans="1:15" x14ac:dyDescent="0.35">
      <c r="A264" s="5">
        <v>46513</v>
      </c>
      <c r="B264" s="2" t="s">
        <v>30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 t="str">
        <f t="shared" si="4"/>
        <v/>
      </c>
      <c r="O264" s="2"/>
    </row>
    <row r="265" spans="1:15" x14ac:dyDescent="0.35">
      <c r="A265" s="5">
        <v>46514</v>
      </c>
      <c r="B265" s="2" t="s">
        <v>31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 t="str">
        <f t="shared" si="4"/>
        <v/>
      </c>
      <c r="O265" s="2"/>
    </row>
    <row r="266" spans="1:15" x14ac:dyDescent="0.35">
      <c r="A266" s="5">
        <v>46515</v>
      </c>
      <c r="B266" s="2" t="s">
        <v>32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 t="str">
        <f t="shared" si="4"/>
        <v/>
      </c>
      <c r="O266" s="2"/>
    </row>
    <row r="267" spans="1:15" x14ac:dyDescent="0.35">
      <c r="A267" s="5">
        <v>46516</v>
      </c>
      <c r="B267" s="2" t="s">
        <v>33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 t="str">
        <f t="shared" si="4"/>
        <v/>
      </c>
      <c r="O267" s="2"/>
    </row>
    <row r="268" spans="1:15" x14ac:dyDescent="0.35">
      <c r="A268" s="5">
        <v>46517</v>
      </c>
      <c r="B268" s="2" t="s">
        <v>27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 t="str">
        <f t="shared" si="4"/>
        <v/>
      </c>
      <c r="O268" s="2"/>
    </row>
    <row r="269" spans="1:15" x14ac:dyDescent="0.35">
      <c r="A269" s="5">
        <v>46518</v>
      </c>
      <c r="B269" s="2" t="s">
        <v>28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 t="str">
        <f t="shared" si="4"/>
        <v/>
      </c>
      <c r="O269" s="2"/>
    </row>
    <row r="270" spans="1:15" x14ac:dyDescent="0.35">
      <c r="A270" s="5">
        <v>46519</v>
      </c>
      <c r="B270" s="2" t="s">
        <v>29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 t="str">
        <f t="shared" si="4"/>
        <v/>
      </c>
      <c r="O270" s="2"/>
    </row>
    <row r="271" spans="1:15" x14ac:dyDescent="0.35">
      <c r="A271" s="5">
        <v>46520</v>
      </c>
      <c r="B271" s="2" t="s">
        <v>30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 t="str">
        <f t="shared" si="4"/>
        <v/>
      </c>
      <c r="O271" s="2"/>
    </row>
    <row r="272" spans="1:15" x14ac:dyDescent="0.35">
      <c r="A272" s="5">
        <v>46521</v>
      </c>
      <c r="B272" s="2" t="s">
        <v>31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 t="str">
        <f t="shared" si="4"/>
        <v/>
      </c>
      <c r="O272" s="2"/>
    </row>
    <row r="273" spans="1:15" x14ac:dyDescent="0.35">
      <c r="A273" s="5">
        <v>46522</v>
      </c>
      <c r="B273" s="2" t="s">
        <v>32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 t="str">
        <f t="shared" si="4"/>
        <v/>
      </c>
      <c r="O273" s="2"/>
    </row>
    <row r="274" spans="1:15" x14ac:dyDescent="0.35">
      <c r="A274" s="5">
        <v>46523</v>
      </c>
      <c r="B274" s="2" t="s">
        <v>33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 t="str">
        <f t="shared" si="4"/>
        <v/>
      </c>
      <c r="O274" s="2"/>
    </row>
    <row r="275" spans="1:15" x14ac:dyDescent="0.35">
      <c r="A275" s="5">
        <v>46524</v>
      </c>
      <c r="B275" s="2" t="s">
        <v>27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 t="str">
        <f t="shared" si="4"/>
        <v/>
      </c>
      <c r="O275" s="2"/>
    </row>
    <row r="276" spans="1:15" x14ac:dyDescent="0.35">
      <c r="A276" s="5">
        <v>46525</v>
      </c>
      <c r="B276" s="2" t="s">
        <v>28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 t="str">
        <f t="shared" si="4"/>
        <v/>
      </c>
      <c r="O276" s="2"/>
    </row>
    <row r="277" spans="1:15" x14ac:dyDescent="0.35">
      <c r="A277" s="5">
        <v>46526</v>
      </c>
      <c r="B277" s="2" t="s">
        <v>29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 t="str">
        <f t="shared" si="4"/>
        <v/>
      </c>
      <c r="O277" s="2"/>
    </row>
    <row r="278" spans="1:15" x14ac:dyDescent="0.35">
      <c r="A278" s="5">
        <v>46527</v>
      </c>
      <c r="B278" s="2" t="s">
        <v>30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 t="str">
        <f t="shared" si="4"/>
        <v/>
      </c>
      <c r="O278" s="2"/>
    </row>
    <row r="279" spans="1:15" x14ac:dyDescent="0.35">
      <c r="A279" s="5">
        <v>46528</v>
      </c>
      <c r="B279" s="2" t="s">
        <v>31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 t="str">
        <f t="shared" si="4"/>
        <v/>
      </c>
      <c r="O279" s="2"/>
    </row>
    <row r="280" spans="1:15" x14ac:dyDescent="0.35">
      <c r="A280" s="5">
        <v>46529</v>
      </c>
      <c r="B280" s="2" t="s">
        <v>32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 t="str">
        <f t="shared" si="4"/>
        <v/>
      </c>
      <c r="O280" s="2"/>
    </row>
    <row r="281" spans="1:15" x14ac:dyDescent="0.35">
      <c r="A281" s="5">
        <v>46530</v>
      </c>
      <c r="B281" s="2" t="s">
        <v>33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 t="str">
        <f t="shared" si="4"/>
        <v/>
      </c>
      <c r="O281" s="2"/>
    </row>
    <row r="282" spans="1:15" x14ac:dyDescent="0.35">
      <c r="A282" s="5">
        <v>46531</v>
      </c>
      <c r="B282" s="2" t="s">
        <v>27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 t="str">
        <f t="shared" si="4"/>
        <v/>
      </c>
      <c r="O282" s="2"/>
    </row>
    <row r="283" spans="1:15" x14ac:dyDescent="0.35">
      <c r="A283" s="5">
        <v>46532</v>
      </c>
      <c r="B283" s="2" t="s">
        <v>28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 t="str">
        <f t="shared" si="4"/>
        <v/>
      </c>
      <c r="O283" s="2"/>
    </row>
    <row r="284" spans="1:15" x14ac:dyDescent="0.35">
      <c r="A284" s="5">
        <v>46533</v>
      </c>
      <c r="B284" s="2" t="s">
        <v>29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 t="str">
        <f t="shared" si="4"/>
        <v/>
      </c>
      <c r="O284" s="2"/>
    </row>
    <row r="285" spans="1:15" x14ac:dyDescent="0.35">
      <c r="A285" s="5">
        <v>46534</v>
      </c>
      <c r="B285" s="2" t="s">
        <v>30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 t="str">
        <f t="shared" si="4"/>
        <v/>
      </c>
      <c r="O285" s="2"/>
    </row>
    <row r="286" spans="1:15" x14ac:dyDescent="0.35">
      <c r="A286" s="5">
        <v>46535</v>
      </c>
      <c r="B286" s="2" t="s">
        <v>31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 t="str">
        <f t="shared" si="4"/>
        <v/>
      </c>
      <c r="O286" s="2"/>
    </row>
    <row r="287" spans="1:15" x14ac:dyDescent="0.35">
      <c r="A287" s="5">
        <v>46536</v>
      </c>
      <c r="B287" s="2" t="s">
        <v>32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 t="str">
        <f t="shared" si="4"/>
        <v/>
      </c>
      <c r="O287" s="2"/>
    </row>
    <row r="288" spans="1:15" x14ac:dyDescent="0.35">
      <c r="A288" s="5">
        <v>46537</v>
      </c>
      <c r="B288" s="2" t="s">
        <v>33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 t="str">
        <f t="shared" si="4"/>
        <v/>
      </c>
      <c r="O288" s="2"/>
    </row>
    <row r="289" spans="1:15" x14ac:dyDescent="0.35">
      <c r="A289" s="5">
        <v>46538</v>
      </c>
      <c r="B289" s="2" t="s">
        <v>27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 t="str">
        <f t="shared" si="4"/>
        <v/>
      </c>
      <c r="O289" s="2"/>
    </row>
    <row r="290" spans="1:15" x14ac:dyDescent="0.35">
      <c r="A290" s="5">
        <v>46539</v>
      </c>
      <c r="B290" s="2" t="s">
        <v>28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 t="str">
        <f t="shared" si="4"/>
        <v/>
      </c>
      <c r="O290" s="2"/>
    </row>
    <row r="291" spans="1:15" x14ac:dyDescent="0.35">
      <c r="A291" s="5">
        <v>46540</v>
      </c>
      <c r="B291" s="2" t="s">
        <v>29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 t="str">
        <f t="shared" si="4"/>
        <v/>
      </c>
      <c r="O291" s="2"/>
    </row>
    <row r="292" spans="1:15" x14ac:dyDescent="0.35">
      <c r="A292" s="5">
        <v>46541</v>
      </c>
      <c r="B292" s="2" t="s">
        <v>30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 t="str">
        <f t="shared" si="4"/>
        <v/>
      </c>
      <c r="O292" s="2"/>
    </row>
    <row r="293" spans="1:15" x14ac:dyDescent="0.35">
      <c r="A293" s="5">
        <v>46542</v>
      </c>
      <c r="B293" s="2" t="s">
        <v>31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 t="str">
        <f t="shared" si="4"/>
        <v/>
      </c>
      <c r="O293" s="2"/>
    </row>
    <row r="294" spans="1:15" x14ac:dyDescent="0.35">
      <c r="A294" s="5">
        <v>46543</v>
      </c>
      <c r="B294" s="2" t="s">
        <v>32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 t="str">
        <f t="shared" si="4"/>
        <v/>
      </c>
      <c r="O294" s="2"/>
    </row>
    <row r="295" spans="1:15" x14ac:dyDescent="0.35">
      <c r="A295" s="5">
        <v>46544</v>
      </c>
      <c r="B295" s="2" t="s">
        <v>33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 t="str">
        <f t="shared" si="4"/>
        <v/>
      </c>
      <c r="O295" s="2"/>
    </row>
    <row r="296" spans="1:15" x14ac:dyDescent="0.35">
      <c r="A296" s="5">
        <v>46545</v>
      </c>
      <c r="B296" s="2" t="s">
        <v>27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 t="str">
        <f t="shared" si="4"/>
        <v/>
      </c>
      <c r="O296" s="2"/>
    </row>
    <row r="297" spans="1:15" x14ac:dyDescent="0.35">
      <c r="A297" s="5">
        <v>46546</v>
      </c>
      <c r="B297" s="2" t="s">
        <v>28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 t="str">
        <f t="shared" si="4"/>
        <v/>
      </c>
      <c r="O297" s="2"/>
    </row>
    <row r="298" spans="1:15" x14ac:dyDescent="0.35">
      <c r="A298" s="5">
        <v>46547</v>
      </c>
      <c r="B298" s="2" t="s">
        <v>29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 t="str">
        <f t="shared" si="4"/>
        <v/>
      </c>
      <c r="O298" s="2"/>
    </row>
    <row r="299" spans="1:15" x14ac:dyDescent="0.35">
      <c r="A299" s="5">
        <v>46548</v>
      </c>
      <c r="B299" s="2" t="s">
        <v>30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 t="str">
        <f t="shared" si="4"/>
        <v/>
      </c>
      <c r="O299" s="2"/>
    </row>
    <row r="300" spans="1:15" x14ac:dyDescent="0.35">
      <c r="A300" s="5">
        <v>46549</v>
      </c>
      <c r="B300" s="2" t="s">
        <v>31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 t="str">
        <f t="shared" si="4"/>
        <v/>
      </c>
      <c r="O300" s="2"/>
    </row>
    <row r="301" spans="1:15" x14ac:dyDescent="0.35">
      <c r="A301" s="5">
        <v>46550</v>
      </c>
      <c r="B301" s="2" t="s">
        <v>32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 t="str">
        <f t="shared" si="4"/>
        <v/>
      </c>
      <c r="O301" s="2"/>
    </row>
    <row r="302" spans="1:15" x14ac:dyDescent="0.35">
      <c r="A302" s="5">
        <v>46551</v>
      </c>
      <c r="B302" s="2" t="s">
        <v>33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 t="str">
        <f t="shared" si="4"/>
        <v/>
      </c>
      <c r="O302" s="2"/>
    </row>
    <row r="303" spans="1:15" x14ac:dyDescent="0.35">
      <c r="A303" s="5">
        <v>46552</v>
      </c>
      <c r="B303" s="2" t="s">
        <v>27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 t="str">
        <f t="shared" si="4"/>
        <v/>
      </c>
      <c r="O303" s="2"/>
    </row>
    <row r="304" spans="1:15" x14ac:dyDescent="0.35">
      <c r="A304" s="5">
        <v>46553</v>
      </c>
      <c r="B304" s="2" t="s">
        <v>28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 t="str">
        <f t="shared" si="4"/>
        <v/>
      </c>
      <c r="O304" s="2"/>
    </row>
    <row r="305" spans="1:15" x14ac:dyDescent="0.35">
      <c r="A305" s="5">
        <v>46554</v>
      </c>
      <c r="B305" s="2" t="s">
        <v>29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 t="str">
        <f t="shared" si="4"/>
        <v/>
      </c>
      <c r="O305" s="2"/>
    </row>
    <row r="306" spans="1:15" x14ac:dyDescent="0.35">
      <c r="A306" s="5">
        <v>46555</v>
      </c>
      <c r="B306" s="2" t="s">
        <v>30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 t="str">
        <f t="shared" si="4"/>
        <v/>
      </c>
      <c r="O306" s="2"/>
    </row>
    <row r="307" spans="1:15" x14ac:dyDescent="0.35">
      <c r="A307" s="5">
        <v>46556</v>
      </c>
      <c r="B307" s="2" t="s">
        <v>31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 t="str">
        <f t="shared" si="4"/>
        <v/>
      </c>
      <c r="O307" s="2"/>
    </row>
    <row r="308" spans="1:15" x14ac:dyDescent="0.35">
      <c r="A308" s="5">
        <v>46557</v>
      </c>
      <c r="B308" s="2" t="s">
        <v>32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 t="str">
        <f t="shared" si="4"/>
        <v/>
      </c>
      <c r="O308" s="2"/>
    </row>
    <row r="309" spans="1:15" x14ac:dyDescent="0.35">
      <c r="A309" s="5">
        <v>46558</v>
      </c>
      <c r="B309" s="2" t="s">
        <v>33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 t="str">
        <f t="shared" si="4"/>
        <v/>
      </c>
      <c r="O309" s="2"/>
    </row>
    <row r="310" spans="1:15" x14ac:dyDescent="0.35">
      <c r="A310" s="5">
        <v>46559</v>
      </c>
      <c r="B310" s="2" t="s">
        <v>27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 t="str">
        <f t="shared" si="4"/>
        <v/>
      </c>
      <c r="O310" s="2"/>
    </row>
    <row r="311" spans="1:15" x14ac:dyDescent="0.35">
      <c r="A311" s="5">
        <v>46560</v>
      </c>
      <c r="B311" s="2" t="s">
        <v>28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 t="str">
        <f t="shared" si="4"/>
        <v/>
      </c>
      <c r="O311" s="2"/>
    </row>
    <row r="312" spans="1:15" x14ac:dyDescent="0.35">
      <c r="A312" s="5">
        <v>46561</v>
      </c>
      <c r="B312" s="2" t="s">
        <v>29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 t="str">
        <f t="shared" si="4"/>
        <v/>
      </c>
      <c r="O312" s="2"/>
    </row>
    <row r="313" spans="1:15" x14ac:dyDescent="0.35">
      <c r="A313" s="5">
        <v>46562</v>
      </c>
      <c r="B313" s="2" t="s">
        <v>30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 t="str">
        <f t="shared" si="4"/>
        <v/>
      </c>
      <c r="O313" s="2"/>
    </row>
    <row r="314" spans="1:15" x14ac:dyDescent="0.35">
      <c r="A314" s="5">
        <v>46563</v>
      </c>
      <c r="B314" s="2" t="s">
        <v>31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 t="str">
        <f t="shared" si="4"/>
        <v/>
      </c>
      <c r="O314" s="2"/>
    </row>
    <row r="315" spans="1:15" x14ac:dyDescent="0.35">
      <c r="A315" s="5">
        <v>46564</v>
      </c>
      <c r="B315" s="2" t="s">
        <v>32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 t="str">
        <f t="shared" si="4"/>
        <v/>
      </c>
      <c r="O315" s="2"/>
    </row>
    <row r="316" spans="1:15" x14ac:dyDescent="0.35">
      <c r="A316" s="5">
        <v>46565</v>
      </c>
      <c r="B316" s="2" t="s">
        <v>33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 t="str">
        <f t="shared" si="4"/>
        <v/>
      </c>
      <c r="O316" s="2"/>
    </row>
    <row r="317" spans="1:15" x14ac:dyDescent="0.35">
      <c r="A317" s="5">
        <v>46566</v>
      </c>
      <c r="B317" s="2" t="s">
        <v>27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 t="str">
        <f t="shared" si="4"/>
        <v/>
      </c>
      <c r="O317" s="2"/>
    </row>
    <row r="318" spans="1:15" x14ac:dyDescent="0.35">
      <c r="A318" s="5">
        <v>46567</v>
      </c>
      <c r="B318" s="2" t="s">
        <v>28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 t="str">
        <f t="shared" si="4"/>
        <v/>
      </c>
      <c r="O318" s="2"/>
    </row>
    <row r="319" spans="1:15" x14ac:dyDescent="0.35">
      <c r="A319" s="5">
        <v>46568</v>
      </c>
      <c r="B319" s="2" t="s">
        <v>29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 t="str">
        <f t="shared" si="4"/>
        <v/>
      </c>
      <c r="O319" s="2"/>
    </row>
    <row r="320" spans="1:15" x14ac:dyDescent="0.35">
      <c r="A320" s="5">
        <v>46569</v>
      </c>
      <c r="B320" s="2" t="s">
        <v>30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 t="str">
        <f t="shared" si="4"/>
        <v/>
      </c>
      <c r="O320" s="2"/>
    </row>
    <row r="321" spans="1:15" x14ac:dyDescent="0.35">
      <c r="A321" s="5">
        <v>46570</v>
      </c>
      <c r="B321" s="2" t="s">
        <v>31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 t="str">
        <f t="shared" si="4"/>
        <v/>
      </c>
      <c r="O321" s="2"/>
    </row>
    <row r="322" spans="1:15" x14ac:dyDescent="0.35">
      <c r="A322" s="5">
        <v>46571</v>
      </c>
      <c r="B322" s="2" t="s">
        <v>32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 t="str">
        <f t="shared" ref="N322:N366" si="5">IF(COUNTA(C322:M322)=0,"",COUNTIF(C322:M322,"✓")/11)</f>
        <v/>
      </c>
      <c r="O322" s="2"/>
    </row>
    <row r="323" spans="1:15" x14ac:dyDescent="0.35">
      <c r="A323" s="5">
        <v>46572</v>
      </c>
      <c r="B323" s="2" t="s">
        <v>33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 t="str">
        <f t="shared" si="5"/>
        <v/>
      </c>
      <c r="O323" s="2"/>
    </row>
    <row r="324" spans="1:15" x14ac:dyDescent="0.35">
      <c r="A324" s="5">
        <v>46573</v>
      </c>
      <c r="B324" s="2" t="s">
        <v>27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 t="str">
        <f t="shared" si="5"/>
        <v/>
      </c>
      <c r="O324" s="2"/>
    </row>
    <row r="325" spans="1:15" x14ac:dyDescent="0.35">
      <c r="A325" s="5">
        <v>46574</v>
      </c>
      <c r="B325" s="2" t="s">
        <v>28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 t="str">
        <f t="shared" si="5"/>
        <v/>
      </c>
      <c r="O325" s="2"/>
    </row>
    <row r="326" spans="1:15" x14ac:dyDescent="0.35">
      <c r="A326" s="5">
        <v>46575</v>
      </c>
      <c r="B326" s="2" t="s">
        <v>29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 t="str">
        <f t="shared" si="5"/>
        <v/>
      </c>
      <c r="O326" s="2"/>
    </row>
    <row r="327" spans="1:15" x14ac:dyDescent="0.35">
      <c r="A327" s="5">
        <v>46576</v>
      </c>
      <c r="B327" s="2" t="s">
        <v>30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 t="str">
        <f t="shared" si="5"/>
        <v/>
      </c>
      <c r="O327" s="2"/>
    </row>
    <row r="328" spans="1:15" x14ac:dyDescent="0.35">
      <c r="A328" s="5">
        <v>46577</v>
      </c>
      <c r="B328" s="2" t="s">
        <v>31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 t="str">
        <f t="shared" si="5"/>
        <v/>
      </c>
      <c r="O328" s="2"/>
    </row>
    <row r="329" spans="1:15" x14ac:dyDescent="0.35">
      <c r="A329" s="5">
        <v>46578</v>
      </c>
      <c r="B329" s="2" t="s">
        <v>32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 t="str">
        <f t="shared" si="5"/>
        <v/>
      </c>
      <c r="O329" s="2"/>
    </row>
    <row r="330" spans="1:15" x14ac:dyDescent="0.35">
      <c r="A330" s="5">
        <v>46579</v>
      </c>
      <c r="B330" s="2" t="s">
        <v>33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 t="str">
        <f t="shared" si="5"/>
        <v/>
      </c>
      <c r="O330" s="2"/>
    </row>
    <row r="331" spans="1:15" x14ac:dyDescent="0.35">
      <c r="A331" s="5">
        <v>46580</v>
      </c>
      <c r="B331" s="2" t="s">
        <v>27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 t="str">
        <f t="shared" si="5"/>
        <v/>
      </c>
      <c r="O331" s="2"/>
    </row>
    <row r="332" spans="1:15" x14ac:dyDescent="0.35">
      <c r="A332" s="5">
        <v>46581</v>
      </c>
      <c r="B332" s="2" t="s">
        <v>28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 t="str">
        <f t="shared" si="5"/>
        <v/>
      </c>
      <c r="O332" s="2"/>
    </row>
    <row r="333" spans="1:15" x14ac:dyDescent="0.35">
      <c r="A333" s="5">
        <v>46582</v>
      </c>
      <c r="B333" s="2" t="s">
        <v>29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 t="str">
        <f t="shared" si="5"/>
        <v/>
      </c>
      <c r="O333" s="2"/>
    </row>
    <row r="334" spans="1:15" x14ac:dyDescent="0.35">
      <c r="A334" s="5">
        <v>46583</v>
      </c>
      <c r="B334" s="2" t="s">
        <v>30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 t="str">
        <f t="shared" si="5"/>
        <v/>
      </c>
      <c r="O334" s="2"/>
    </row>
    <row r="335" spans="1:15" x14ac:dyDescent="0.35">
      <c r="A335" s="5">
        <v>46584</v>
      </c>
      <c r="B335" s="2" t="s">
        <v>31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 t="str">
        <f t="shared" si="5"/>
        <v/>
      </c>
      <c r="O335" s="2"/>
    </row>
    <row r="336" spans="1:15" x14ac:dyDescent="0.35">
      <c r="A336" s="5">
        <v>46585</v>
      </c>
      <c r="B336" s="2" t="s">
        <v>32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 t="str">
        <f t="shared" si="5"/>
        <v/>
      </c>
      <c r="O336" s="2"/>
    </row>
    <row r="337" spans="1:15" x14ac:dyDescent="0.35">
      <c r="A337" s="5">
        <v>46586</v>
      </c>
      <c r="B337" s="2" t="s">
        <v>33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 t="str">
        <f t="shared" si="5"/>
        <v/>
      </c>
      <c r="O337" s="2"/>
    </row>
    <row r="338" spans="1:15" x14ac:dyDescent="0.35">
      <c r="A338" s="5">
        <v>46587</v>
      </c>
      <c r="B338" s="2" t="s">
        <v>27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 t="str">
        <f t="shared" si="5"/>
        <v/>
      </c>
      <c r="O338" s="2"/>
    </row>
    <row r="339" spans="1:15" x14ac:dyDescent="0.35">
      <c r="A339" s="5">
        <v>46588</v>
      </c>
      <c r="B339" s="2" t="s">
        <v>28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 t="str">
        <f t="shared" si="5"/>
        <v/>
      </c>
      <c r="O339" s="2"/>
    </row>
    <row r="340" spans="1:15" x14ac:dyDescent="0.35">
      <c r="A340" s="5">
        <v>46589</v>
      </c>
      <c r="B340" s="2" t="s">
        <v>29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 t="str">
        <f t="shared" si="5"/>
        <v/>
      </c>
      <c r="O340" s="2"/>
    </row>
    <row r="341" spans="1:15" x14ac:dyDescent="0.35">
      <c r="A341" s="5">
        <v>46590</v>
      </c>
      <c r="B341" s="2" t="s">
        <v>30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 t="str">
        <f t="shared" si="5"/>
        <v/>
      </c>
      <c r="O341" s="2"/>
    </row>
    <row r="342" spans="1:15" x14ac:dyDescent="0.35">
      <c r="A342" s="5">
        <v>46591</v>
      </c>
      <c r="B342" s="2" t="s">
        <v>31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 t="str">
        <f t="shared" si="5"/>
        <v/>
      </c>
      <c r="O342" s="2"/>
    </row>
    <row r="343" spans="1:15" x14ac:dyDescent="0.35">
      <c r="A343" s="5">
        <v>46592</v>
      </c>
      <c r="B343" s="2" t="s">
        <v>32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 t="str">
        <f t="shared" si="5"/>
        <v/>
      </c>
      <c r="O343" s="2"/>
    </row>
    <row r="344" spans="1:15" x14ac:dyDescent="0.35">
      <c r="A344" s="5">
        <v>46593</v>
      </c>
      <c r="B344" s="2" t="s">
        <v>33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 t="str">
        <f t="shared" si="5"/>
        <v/>
      </c>
      <c r="O344" s="2"/>
    </row>
    <row r="345" spans="1:15" x14ac:dyDescent="0.35">
      <c r="A345" s="5">
        <v>46594</v>
      </c>
      <c r="B345" s="2" t="s">
        <v>27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 t="str">
        <f t="shared" si="5"/>
        <v/>
      </c>
      <c r="O345" s="2"/>
    </row>
    <row r="346" spans="1:15" x14ac:dyDescent="0.35">
      <c r="A346" s="5">
        <v>46595</v>
      </c>
      <c r="B346" s="2" t="s">
        <v>28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 t="str">
        <f t="shared" si="5"/>
        <v/>
      </c>
      <c r="O346" s="2"/>
    </row>
    <row r="347" spans="1:15" x14ac:dyDescent="0.35">
      <c r="A347" s="5">
        <v>46596</v>
      </c>
      <c r="B347" s="2" t="s">
        <v>29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 t="str">
        <f t="shared" si="5"/>
        <v/>
      </c>
      <c r="O347" s="2"/>
    </row>
    <row r="348" spans="1:15" x14ac:dyDescent="0.35">
      <c r="A348" s="5">
        <v>46597</v>
      </c>
      <c r="B348" s="2" t="s">
        <v>30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 t="str">
        <f t="shared" si="5"/>
        <v/>
      </c>
      <c r="O348" s="2"/>
    </row>
    <row r="349" spans="1:15" x14ac:dyDescent="0.35">
      <c r="A349" s="5">
        <v>46598</v>
      </c>
      <c r="B349" s="2" t="s">
        <v>31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 t="str">
        <f t="shared" si="5"/>
        <v/>
      </c>
      <c r="O349" s="2"/>
    </row>
    <row r="350" spans="1:15" x14ac:dyDescent="0.35">
      <c r="A350" s="5">
        <v>46599</v>
      </c>
      <c r="B350" s="2" t="s">
        <v>32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 t="str">
        <f t="shared" si="5"/>
        <v/>
      </c>
      <c r="O350" s="2"/>
    </row>
    <row r="351" spans="1:15" x14ac:dyDescent="0.35">
      <c r="A351" s="5">
        <v>46600</v>
      </c>
      <c r="B351" s="2" t="s">
        <v>33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 t="str">
        <f t="shared" si="5"/>
        <v/>
      </c>
      <c r="O351" s="2"/>
    </row>
    <row r="352" spans="1:15" x14ac:dyDescent="0.35">
      <c r="A352" s="5">
        <v>46601</v>
      </c>
      <c r="B352" s="2" t="s">
        <v>27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 t="str">
        <f t="shared" si="5"/>
        <v/>
      </c>
      <c r="O352" s="2"/>
    </row>
    <row r="353" spans="1:15" x14ac:dyDescent="0.35">
      <c r="A353" s="5">
        <v>46602</v>
      </c>
      <c r="B353" s="2" t="s">
        <v>28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 t="str">
        <f t="shared" si="5"/>
        <v/>
      </c>
      <c r="O353" s="2"/>
    </row>
    <row r="354" spans="1:15" x14ac:dyDescent="0.35">
      <c r="A354" s="5">
        <v>46603</v>
      </c>
      <c r="B354" s="2" t="s">
        <v>29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 t="str">
        <f t="shared" si="5"/>
        <v/>
      </c>
      <c r="O354" s="2"/>
    </row>
    <row r="355" spans="1:15" x14ac:dyDescent="0.35">
      <c r="A355" s="5">
        <v>46604</v>
      </c>
      <c r="B355" s="2" t="s">
        <v>30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 t="str">
        <f t="shared" si="5"/>
        <v/>
      </c>
      <c r="O355" s="2"/>
    </row>
    <row r="356" spans="1:15" x14ac:dyDescent="0.35">
      <c r="A356" s="5">
        <v>46605</v>
      </c>
      <c r="B356" s="2" t="s">
        <v>31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 t="str">
        <f t="shared" si="5"/>
        <v/>
      </c>
      <c r="O356" s="2"/>
    </row>
    <row r="357" spans="1:15" x14ac:dyDescent="0.35">
      <c r="A357" s="5">
        <v>46606</v>
      </c>
      <c r="B357" s="2" t="s">
        <v>32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 t="str">
        <f t="shared" si="5"/>
        <v/>
      </c>
      <c r="O357" s="2"/>
    </row>
    <row r="358" spans="1:15" x14ac:dyDescent="0.35">
      <c r="A358" s="5">
        <v>46607</v>
      </c>
      <c r="B358" s="2" t="s">
        <v>33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 t="str">
        <f t="shared" si="5"/>
        <v/>
      </c>
      <c r="O358" s="2"/>
    </row>
    <row r="359" spans="1:15" x14ac:dyDescent="0.35">
      <c r="A359" s="5">
        <v>46608</v>
      </c>
      <c r="B359" s="2" t="s">
        <v>27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 t="str">
        <f t="shared" si="5"/>
        <v/>
      </c>
      <c r="O359" s="2"/>
    </row>
    <row r="360" spans="1:15" x14ac:dyDescent="0.35">
      <c r="A360" s="5">
        <v>46609</v>
      </c>
      <c r="B360" s="2" t="s">
        <v>28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 t="str">
        <f t="shared" si="5"/>
        <v/>
      </c>
      <c r="O360" s="2"/>
    </row>
    <row r="361" spans="1:15" x14ac:dyDescent="0.35">
      <c r="A361" s="5">
        <v>46610</v>
      </c>
      <c r="B361" s="2" t="s">
        <v>29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 t="str">
        <f t="shared" si="5"/>
        <v/>
      </c>
      <c r="O361" s="2"/>
    </row>
    <row r="362" spans="1:15" x14ac:dyDescent="0.35">
      <c r="A362" s="5">
        <v>46611</v>
      </c>
      <c r="B362" s="2" t="s">
        <v>30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 t="str">
        <f t="shared" si="5"/>
        <v/>
      </c>
      <c r="O362" s="2"/>
    </row>
    <row r="363" spans="1:15" x14ac:dyDescent="0.35">
      <c r="A363" s="5">
        <v>46612</v>
      </c>
      <c r="B363" s="2" t="s">
        <v>31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 t="str">
        <f t="shared" si="5"/>
        <v/>
      </c>
      <c r="O363" s="2"/>
    </row>
    <row r="364" spans="1:15" x14ac:dyDescent="0.35">
      <c r="A364" s="5">
        <v>46613</v>
      </c>
      <c r="B364" s="2" t="s">
        <v>32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 t="str">
        <f t="shared" si="5"/>
        <v/>
      </c>
      <c r="O364" s="2"/>
    </row>
    <row r="365" spans="1:15" x14ac:dyDescent="0.35">
      <c r="A365" s="5">
        <v>46614</v>
      </c>
      <c r="B365" s="2" t="s">
        <v>33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 t="str">
        <f t="shared" si="5"/>
        <v/>
      </c>
      <c r="O365" s="2"/>
    </row>
    <row r="366" spans="1:15" x14ac:dyDescent="0.35">
      <c r="A366" s="5">
        <v>46615</v>
      </c>
      <c r="B366" s="2" t="s">
        <v>27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 t="str">
        <f t="shared" si="5"/>
        <v/>
      </c>
      <c r="O366" s="2"/>
    </row>
  </sheetData>
  <autoFilter ref="A1:O366" xr:uid="{00000000-0009-0000-0000-000001000000}"/>
  <conditionalFormatting sqref="N2:N366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1">
    <dataValidation type="list" allowBlank="1" sqref="C2:M366" xr:uid="{00000000-0002-0000-0100-000000000000}">
      <formula1>"✓,✗"</formula1>
    </dataValidation>
  </dataValidations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workbookViewId="0">
      <pane ySplit="1" topLeftCell="A2" activePane="bottomLeft" state="frozen"/>
      <selection pane="bottomLeft" activeCell="L2" sqref="L2"/>
    </sheetView>
  </sheetViews>
  <sheetFormatPr defaultRowHeight="14.5" x14ac:dyDescent="0.35"/>
  <cols>
    <col min="1" max="2" width="12" customWidth="1"/>
    <col min="3" max="6" width="28" customWidth="1"/>
    <col min="7" max="7" width="12" customWidth="1"/>
    <col min="8" max="8" width="28" customWidth="1"/>
    <col min="9" max="9" width="20" customWidth="1"/>
    <col min="10" max="10" width="12" customWidth="1"/>
    <col min="11" max="11" width="13" customWidth="1"/>
    <col min="12" max="12" width="19" customWidth="1"/>
  </cols>
  <sheetData>
    <row r="1" spans="1:12" x14ac:dyDescent="0.3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 x14ac:dyDescent="0.35">
      <c r="A2" s="5">
        <v>46251</v>
      </c>
      <c r="B2" s="2" t="s">
        <v>46</v>
      </c>
      <c r="C2" s="2">
        <f>COUNTIF('Daily Tracker'!C2:C8,"✓")</f>
        <v>2</v>
      </c>
      <c r="D2" s="2">
        <f>COUNTIF('Daily Tracker'!D2:D8,"✓")</f>
        <v>3</v>
      </c>
      <c r="E2" s="2">
        <f>COUNTIF('Daily Tracker'!E2:E8,"✓")</f>
        <v>4</v>
      </c>
      <c r="F2" s="2">
        <f>COUNTIF('Daily Tracker'!G2:G8,"✓")</f>
        <v>3</v>
      </c>
      <c r="G2" s="2"/>
      <c r="H2" s="3">
        <f>IFERROR(AVERAGE('Daily Tracker'!N2:N8),"")</f>
        <v>0.79545454545454541</v>
      </c>
      <c r="I2" s="3">
        <f t="shared" ref="I2:I33" si="0">IF(H2="","",H2)</f>
        <v>0.79545454545454541</v>
      </c>
      <c r="J2" s="2"/>
      <c r="K2" s="2"/>
      <c r="L2" s="2"/>
    </row>
    <row r="3" spans="1:12" x14ac:dyDescent="0.35">
      <c r="A3" s="5">
        <v>46258</v>
      </c>
      <c r="B3" s="2" t="s">
        <v>47</v>
      </c>
      <c r="C3" s="2">
        <f>COUNTIF('Daily Tracker'!C9:C15,"✓")</f>
        <v>0</v>
      </c>
      <c r="D3" s="2">
        <f>COUNTIF('Daily Tracker'!D9:D15,"✓")</f>
        <v>0</v>
      </c>
      <c r="E3" s="2">
        <f>COUNTIF('Daily Tracker'!E9:E15,"✓")</f>
        <v>0</v>
      </c>
      <c r="F3" s="2">
        <f>COUNTIF('Daily Tracker'!G9:G15,"✓")</f>
        <v>0</v>
      </c>
      <c r="G3" s="2"/>
      <c r="H3" s="3" t="str">
        <f>IFERROR(AVERAGE('Daily Tracker'!N9:N15),"")</f>
        <v/>
      </c>
      <c r="I3" s="3" t="str">
        <f t="shared" si="0"/>
        <v/>
      </c>
      <c r="J3" s="2"/>
      <c r="K3" s="2"/>
      <c r="L3" s="2"/>
    </row>
    <row r="4" spans="1:12" x14ac:dyDescent="0.35">
      <c r="A4" s="5">
        <v>46265</v>
      </c>
      <c r="B4" s="2" t="s">
        <v>48</v>
      </c>
      <c r="C4" s="2">
        <f>COUNTIF('Daily Tracker'!C16:C22,"✓")</f>
        <v>0</v>
      </c>
      <c r="D4" s="2">
        <f>COUNTIF('Daily Tracker'!D16:D22,"✓")</f>
        <v>0</v>
      </c>
      <c r="E4" s="2">
        <f>COUNTIF('Daily Tracker'!E16:E22,"✓")</f>
        <v>0</v>
      </c>
      <c r="F4" s="2">
        <f>COUNTIF('Daily Tracker'!G16:G22,"✓")</f>
        <v>0</v>
      </c>
      <c r="G4" s="2"/>
      <c r="H4" s="3" t="str">
        <f>IFERROR(AVERAGE('Daily Tracker'!N16:N22),"")</f>
        <v/>
      </c>
      <c r="I4" s="3" t="str">
        <f t="shared" si="0"/>
        <v/>
      </c>
      <c r="J4" s="2"/>
      <c r="K4" s="2"/>
      <c r="L4" s="2"/>
    </row>
    <row r="5" spans="1:12" x14ac:dyDescent="0.35">
      <c r="A5" s="5">
        <v>46272</v>
      </c>
      <c r="B5" s="2" t="s">
        <v>49</v>
      </c>
      <c r="C5" s="2">
        <f>COUNTIF('Daily Tracker'!C23:C29,"✓")</f>
        <v>0</v>
      </c>
      <c r="D5" s="2">
        <f>COUNTIF('Daily Tracker'!D23:D29,"✓")</f>
        <v>0</v>
      </c>
      <c r="E5" s="2">
        <f>COUNTIF('Daily Tracker'!E23:E29,"✓")</f>
        <v>0</v>
      </c>
      <c r="F5" s="2">
        <f>COUNTIF('Daily Tracker'!G23:G29,"✓")</f>
        <v>0</v>
      </c>
      <c r="G5" s="2"/>
      <c r="H5" s="3" t="str">
        <f>IFERROR(AVERAGE('Daily Tracker'!N23:N29),"")</f>
        <v/>
      </c>
      <c r="I5" s="3" t="str">
        <f t="shared" si="0"/>
        <v/>
      </c>
      <c r="J5" s="2"/>
      <c r="K5" s="2"/>
      <c r="L5" s="2"/>
    </row>
    <row r="6" spans="1:12" x14ac:dyDescent="0.35">
      <c r="A6" s="5">
        <v>46279</v>
      </c>
      <c r="B6" s="2" t="s">
        <v>50</v>
      </c>
      <c r="C6" s="2">
        <f>COUNTIF('Daily Tracker'!C30:C36,"✓")</f>
        <v>0</v>
      </c>
      <c r="D6" s="2">
        <f>COUNTIF('Daily Tracker'!D30:D36,"✓")</f>
        <v>0</v>
      </c>
      <c r="E6" s="2">
        <f>COUNTIF('Daily Tracker'!E30:E36,"✓")</f>
        <v>0</v>
      </c>
      <c r="F6" s="2">
        <f>COUNTIF('Daily Tracker'!G30:G36,"✓")</f>
        <v>0</v>
      </c>
      <c r="G6" s="2"/>
      <c r="H6" s="3" t="str">
        <f>IFERROR(AVERAGE('Daily Tracker'!N30:N36),"")</f>
        <v/>
      </c>
      <c r="I6" s="3" t="str">
        <f t="shared" si="0"/>
        <v/>
      </c>
      <c r="J6" s="2"/>
      <c r="K6" s="2"/>
      <c r="L6" s="2"/>
    </row>
    <row r="7" spans="1:12" x14ac:dyDescent="0.35">
      <c r="A7" s="5">
        <v>46286</v>
      </c>
      <c r="B7" s="2" t="s">
        <v>51</v>
      </c>
      <c r="C7" s="2">
        <f>COUNTIF('Daily Tracker'!C37:C43,"✓")</f>
        <v>0</v>
      </c>
      <c r="D7" s="2">
        <f>COUNTIF('Daily Tracker'!D37:D43,"✓")</f>
        <v>0</v>
      </c>
      <c r="E7" s="2">
        <f>COUNTIF('Daily Tracker'!E37:E43,"✓")</f>
        <v>0</v>
      </c>
      <c r="F7" s="2">
        <f>COUNTIF('Daily Tracker'!G37:G43,"✓")</f>
        <v>0</v>
      </c>
      <c r="G7" s="2"/>
      <c r="H7" s="3" t="str">
        <f>IFERROR(AVERAGE('Daily Tracker'!N37:N43),"")</f>
        <v/>
      </c>
      <c r="I7" s="3" t="str">
        <f t="shared" si="0"/>
        <v/>
      </c>
      <c r="J7" s="2"/>
      <c r="K7" s="2"/>
      <c r="L7" s="2"/>
    </row>
    <row r="8" spans="1:12" x14ac:dyDescent="0.35">
      <c r="A8" s="5">
        <v>46293</v>
      </c>
      <c r="B8" s="2" t="s">
        <v>52</v>
      </c>
      <c r="C8" s="2">
        <f>COUNTIF('Daily Tracker'!C44:C50,"✓")</f>
        <v>0</v>
      </c>
      <c r="D8" s="2">
        <f>COUNTIF('Daily Tracker'!D44:D50,"✓")</f>
        <v>0</v>
      </c>
      <c r="E8" s="2">
        <f>COUNTIF('Daily Tracker'!E44:E50,"✓")</f>
        <v>0</v>
      </c>
      <c r="F8" s="2">
        <f>COUNTIF('Daily Tracker'!G44:G50,"✓")</f>
        <v>0</v>
      </c>
      <c r="G8" s="2"/>
      <c r="H8" s="3" t="str">
        <f>IFERROR(AVERAGE('Daily Tracker'!N44:N50),"")</f>
        <v/>
      </c>
      <c r="I8" s="3" t="str">
        <f t="shared" si="0"/>
        <v/>
      </c>
      <c r="J8" s="2"/>
      <c r="K8" s="2"/>
      <c r="L8" s="2"/>
    </row>
    <row r="9" spans="1:12" x14ac:dyDescent="0.35">
      <c r="A9" s="5">
        <v>46300</v>
      </c>
      <c r="B9" s="2" t="s">
        <v>53</v>
      </c>
      <c r="C9" s="2">
        <f>COUNTIF('Daily Tracker'!C51:C57,"✓")</f>
        <v>0</v>
      </c>
      <c r="D9" s="2">
        <f>COUNTIF('Daily Tracker'!D51:D57,"✓")</f>
        <v>0</v>
      </c>
      <c r="E9" s="2">
        <f>COUNTIF('Daily Tracker'!E51:E57,"✓")</f>
        <v>0</v>
      </c>
      <c r="F9" s="2">
        <f>COUNTIF('Daily Tracker'!G51:G57,"✓")</f>
        <v>0</v>
      </c>
      <c r="G9" s="2"/>
      <c r="H9" s="3" t="str">
        <f>IFERROR(AVERAGE('Daily Tracker'!N51:N57),"")</f>
        <v/>
      </c>
      <c r="I9" s="3" t="str">
        <f t="shared" si="0"/>
        <v/>
      </c>
      <c r="J9" s="2"/>
      <c r="K9" s="2"/>
      <c r="L9" s="2"/>
    </row>
    <row r="10" spans="1:12" x14ac:dyDescent="0.35">
      <c r="A10" s="5">
        <v>46307</v>
      </c>
      <c r="B10" s="2" t="s">
        <v>54</v>
      </c>
      <c r="C10" s="2">
        <f>COUNTIF('Daily Tracker'!C58:C64,"✓")</f>
        <v>0</v>
      </c>
      <c r="D10" s="2">
        <f>COUNTIF('Daily Tracker'!D58:D64,"✓")</f>
        <v>0</v>
      </c>
      <c r="E10" s="2">
        <f>COUNTIF('Daily Tracker'!E58:E64,"✓")</f>
        <v>0</v>
      </c>
      <c r="F10" s="2">
        <f>COUNTIF('Daily Tracker'!G58:G64,"✓")</f>
        <v>0</v>
      </c>
      <c r="G10" s="2"/>
      <c r="H10" s="3" t="str">
        <f>IFERROR(AVERAGE('Daily Tracker'!N58:N64),"")</f>
        <v/>
      </c>
      <c r="I10" s="3" t="str">
        <f t="shared" si="0"/>
        <v/>
      </c>
      <c r="J10" s="2"/>
      <c r="K10" s="2"/>
      <c r="L10" s="2"/>
    </row>
    <row r="11" spans="1:12" x14ac:dyDescent="0.35">
      <c r="A11" s="5">
        <v>46314</v>
      </c>
      <c r="B11" s="2" t="s">
        <v>55</v>
      </c>
      <c r="C11" s="2">
        <f>COUNTIF('Daily Tracker'!C65:C71,"✓")</f>
        <v>0</v>
      </c>
      <c r="D11" s="2">
        <f>COUNTIF('Daily Tracker'!D65:D71,"✓")</f>
        <v>0</v>
      </c>
      <c r="E11" s="2">
        <f>COUNTIF('Daily Tracker'!E65:E71,"✓")</f>
        <v>0</v>
      </c>
      <c r="F11" s="2">
        <f>COUNTIF('Daily Tracker'!G65:G71,"✓")</f>
        <v>0</v>
      </c>
      <c r="G11" s="2"/>
      <c r="H11" s="3" t="str">
        <f>IFERROR(AVERAGE('Daily Tracker'!N65:N71),"")</f>
        <v/>
      </c>
      <c r="I11" s="3" t="str">
        <f t="shared" si="0"/>
        <v/>
      </c>
      <c r="J11" s="2"/>
      <c r="K11" s="2"/>
      <c r="L11" s="2"/>
    </row>
    <row r="12" spans="1:12" x14ac:dyDescent="0.35">
      <c r="A12" s="5">
        <v>46321</v>
      </c>
      <c r="B12" s="2" t="s">
        <v>56</v>
      </c>
      <c r="C12" s="2">
        <f>COUNTIF('Daily Tracker'!C72:C78,"✓")</f>
        <v>0</v>
      </c>
      <c r="D12" s="2">
        <f>COUNTIF('Daily Tracker'!D72:D78,"✓")</f>
        <v>0</v>
      </c>
      <c r="E12" s="2">
        <f>COUNTIF('Daily Tracker'!E72:E78,"✓")</f>
        <v>0</v>
      </c>
      <c r="F12" s="2">
        <f>COUNTIF('Daily Tracker'!G72:G78,"✓")</f>
        <v>0</v>
      </c>
      <c r="G12" s="2"/>
      <c r="H12" s="3" t="str">
        <f>IFERROR(AVERAGE('Daily Tracker'!N72:N78),"")</f>
        <v/>
      </c>
      <c r="I12" s="3" t="str">
        <f t="shared" si="0"/>
        <v/>
      </c>
      <c r="J12" s="2"/>
      <c r="K12" s="2"/>
      <c r="L12" s="2"/>
    </row>
    <row r="13" spans="1:12" x14ac:dyDescent="0.35">
      <c r="A13" s="5">
        <v>46328</v>
      </c>
      <c r="B13" s="2" t="s">
        <v>57</v>
      </c>
      <c r="C13" s="2">
        <f>COUNTIF('Daily Tracker'!C79:C85,"✓")</f>
        <v>0</v>
      </c>
      <c r="D13" s="2">
        <f>COUNTIF('Daily Tracker'!D79:D85,"✓")</f>
        <v>0</v>
      </c>
      <c r="E13" s="2">
        <f>COUNTIF('Daily Tracker'!E79:E85,"✓")</f>
        <v>0</v>
      </c>
      <c r="F13" s="2">
        <f>COUNTIF('Daily Tracker'!G79:G85,"✓")</f>
        <v>0</v>
      </c>
      <c r="G13" s="2"/>
      <c r="H13" s="3" t="str">
        <f>IFERROR(AVERAGE('Daily Tracker'!N79:N85),"")</f>
        <v/>
      </c>
      <c r="I13" s="3" t="str">
        <f t="shared" si="0"/>
        <v/>
      </c>
      <c r="J13" s="2"/>
      <c r="K13" s="2"/>
      <c r="L13" s="2"/>
    </row>
    <row r="14" spans="1:12" x14ac:dyDescent="0.35">
      <c r="A14" s="5">
        <v>46335</v>
      </c>
      <c r="B14" s="2" t="s">
        <v>58</v>
      </c>
      <c r="C14" s="2">
        <f>COUNTIF('Daily Tracker'!C86:C92,"✓")</f>
        <v>0</v>
      </c>
      <c r="D14" s="2">
        <f>COUNTIF('Daily Tracker'!D86:D92,"✓")</f>
        <v>0</v>
      </c>
      <c r="E14" s="2">
        <f>COUNTIF('Daily Tracker'!E86:E92,"✓")</f>
        <v>0</v>
      </c>
      <c r="F14" s="2">
        <f>COUNTIF('Daily Tracker'!G86:G92,"✓")</f>
        <v>0</v>
      </c>
      <c r="G14" s="2"/>
      <c r="H14" s="3" t="str">
        <f>IFERROR(AVERAGE('Daily Tracker'!N86:N92),"")</f>
        <v/>
      </c>
      <c r="I14" s="3" t="str">
        <f t="shared" si="0"/>
        <v/>
      </c>
      <c r="J14" s="2"/>
      <c r="K14" s="2"/>
      <c r="L14" s="2"/>
    </row>
    <row r="15" spans="1:12" x14ac:dyDescent="0.35">
      <c r="A15" s="5">
        <v>46342</v>
      </c>
      <c r="B15" s="2" t="s">
        <v>59</v>
      </c>
      <c r="C15" s="2">
        <f>COUNTIF('Daily Tracker'!C93:C99,"✓")</f>
        <v>0</v>
      </c>
      <c r="D15" s="2">
        <f>COUNTIF('Daily Tracker'!D93:D99,"✓")</f>
        <v>0</v>
      </c>
      <c r="E15" s="2">
        <f>COUNTIF('Daily Tracker'!E93:E99,"✓")</f>
        <v>0</v>
      </c>
      <c r="F15" s="2">
        <f>COUNTIF('Daily Tracker'!G93:G99,"✓")</f>
        <v>0</v>
      </c>
      <c r="G15" s="2"/>
      <c r="H15" s="3" t="str">
        <f>IFERROR(AVERAGE('Daily Tracker'!N93:N99),"")</f>
        <v/>
      </c>
      <c r="I15" s="3" t="str">
        <f t="shared" si="0"/>
        <v/>
      </c>
      <c r="J15" s="2"/>
      <c r="K15" s="2"/>
      <c r="L15" s="2"/>
    </row>
    <row r="16" spans="1:12" x14ac:dyDescent="0.35">
      <c r="A16" s="5">
        <v>46349</v>
      </c>
      <c r="B16" s="2" t="s">
        <v>60</v>
      </c>
      <c r="C16" s="2">
        <f>COUNTIF('Daily Tracker'!C100:C106,"✓")</f>
        <v>0</v>
      </c>
      <c r="D16" s="2">
        <f>COUNTIF('Daily Tracker'!D100:D106,"✓")</f>
        <v>0</v>
      </c>
      <c r="E16" s="2">
        <f>COUNTIF('Daily Tracker'!E100:E106,"✓")</f>
        <v>0</v>
      </c>
      <c r="F16" s="2">
        <f>COUNTIF('Daily Tracker'!G100:G106,"✓")</f>
        <v>0</v>
      </c>
      <c r="G16" s="2"/>
      <c r="H16" s="3" t="str">
        <f>IFERROR(AVERAGE('Daily Tracker'!N100:N106),"")</f>
        <v/>
      </c>
      <c r="I16" s="3" t="str">
        <f t="shared" si="0"/>
        <v/>
      </c>
      <c r="J16" s="2"/>
      <c r="K16" s="2"/>
      <c r="L16" s="2"/>
    </row>
    <row r="17" spans="1:12" x14ac:dyDescent="0.35">
      <c r="A17" s="5">
        <v>46356</v>
      </c>
      <c r="B17" s="2" t="s">
        <v>61</v>
      </c>
      <c r="C17" s="2">
        <f>COUNTIF('Daily Tracker'!C107:C113,"✓")</f>
        <v>0</v>
      </c>
      <c r="D17" s="2">
        <f>COUNTIF('Daily Tracker'!D107:D113,"✓")</f>
        <v>0</v>
      </c>
      <c r="E17" s="2">
        <f>COUNTIF('Daily Tracker'!E107:E113,"✓")</f>
        <v>0</v>
      </c>
      <c r="F17" s="2">
        <f>COUNTIF('Daily Tracker'!G107:G113,"✓")</f>
        <v>0</v>
      </c>
      <c r="G17" s="2"/>
      <c r="H17" s="3" t="str">
        <f>IFERROR(AVERAGE('Daily Tracker'!N107:N113),"")</f>
        <v/>
      </c>
      <c r="I17" s="3" t="str">
        <f t="shared" si="0"/>
        <v/>
      </c>
      <c r="J17" s="2"/>
      <c r="K17" s="2"/>
      <c r="L17" s="2"/>
    </row>
    <row r="18" spans="1:12" x14ac:dyDescent="0.35">
      <c r="A18" s="5">
        <v>46363</v>
      </c>
      <c r="B18" s="2" t="s">
        <v>62</v>
      </c>
      <c r="C18" s="2">
        <f>COUNTIF('Daily Tracker'!C114:C120,"✓")</f>
        <v>0</v>
      </c>
      <c r="D18" s="2">
        <f>COUNTIF('Daily Tracker'!D114:D120,"✓")</f>
        <v>0</v>
      </c>
      <c r="E18" s="2">
        <f>COUNTIF('Daily Tracker'!E114:E120,"✓")</f>
        <v>0</v>
      </c>
      <c r="F18" s="2">
        <f>COUNTIF('Daily Tracker'!G114:G120,"✓")</f>
        <v>0</v>
      </c>
      <c r="G18" s="2"/>
      <c r="H18" s="3" t="str">
        <f>IFERROR(AVERAGE('Daily Tracker'!N114:N120),"")</f>
        <v/>
      </c>
      <c r="I18" s="3" t="str">
        <f t="shared" si="0"/>
        <v/>
      </c>
      <c r="J18" s="2"/>
      <c r="K18" s="2"/>
      <c r="L18" s="2"/>
    </row>
    <row r="19" spans="1:12" x14ac:dyDescent="0.35">
      <c r="A19" s="5">
        <v>46370</v>
      </c>
      <c r="B19" s="2" t="s">
        <v>63</v>
      </c>
      <c r="C19" s="2">
        <f>COUNTIF('Daily Tracker'!C121:C127,"✓")</f>
        <v>0</v>
      </c>
      <c r="D19" s="2">
        <f>COUNTIF('Daily Tracker'!D121:D127,"✓")</f>
        <v>0</v>
      </c>
      <c r="E19" s="2">
        <f>COUNTIF('Daily Tracker'!E121:E127,"✓")</f>
        <v>0</v>
      </c>
      <c r="F19" s="2">
        <f>COUNTIF('Daily Tracker'!G121:G127,"✓")</f>
        <v>0</v>
      </c>
      <c r="G19" s="2"/>
      <c r="H19" s="3" t="str">
        <f>IFERROR(AVERAGE('Daily Tracker'!N121:N127),"")</f>
        <v/>
      </c>
      <c r="I19" s="3" t="str">
        <f t="shared" si="0"/>
        <v/>
      </c>
      <c r="J19" s="2"/>
      <c r="K19" s="2"/>
      <c r="L19" s="2"/>
    </row>
    <row r="20" spans="1:12" x14ac:dyDescent="0.35">
      <c r="A20" s="5">
        <v>46377</v>
      </c>
      <c r="B20" s="2" t="s">
        <v>64</v>
      </c>
      <c r="C20" s="2">
        <f>COUNTIF('Daily Tracker'!C128:C134,"✓")</f>
        <v>0</v>
      </c>
      <c r="D20" s="2">
        <f>COUNTIF('Daily Tracker'!D128:D134,"✓")</f>
        <v>0</v>
      </c>
      <c r="E20" s="2">
        <f>COUNTIF('Daily Tracker'!E128:E134,"✓")</f>
        <v>0</v>
      </c>
      <c r="F20" s="2">
        <f>COUNTIF('Daily Tracker'!G128:G134,"✓")</f>
        <v>0</v>
      </c>
      <c r="G20" s="2"/>
      <c r="H20" s="3" t="str">
        <f>IFERROR(AVERAGE('Daily Tracker'!N128:N134),"")</f>
        <v/>
      </c>
      <c r="I20" s="3" t="str">
        <f t="shared" si="0"/>
        <v/>
      </c>
      <c r="J20" s="2"/>
      <c r="K20" s="2"/>
      <c r="L20" s="2"/>
    </row>
    <row r="21" spans="1:12" x14ac:dyDescent="0.35">
      <c r="A21" s="5">
        <v>46384</v>
      </c>
      <c r="B21" s="2" t="s">
        <v>65</v>
      </c>
      <c r="C21" s="2">
        <f>COUNTIF('Daily Tracker'!C135:C141,"✓")</f>
        <v>0</v>
      </c>
      <c r="D21" s="2">
        <f>COUNTIF('Daily Tracker'!D135:D141,"✓")</f>
        <v>0</v>
      </c>
      <c r="E21" s="2">
        <f>COUNTIF('Daily Tracker'!E135:E141,"✓")</f>
        <v>0</v>
      </c>
      <c r="F21" s="2">
        <f>COUNTIF('Daily Tracker'!G135:G141,"✓")</f>
        <v>0</v>
      </c>
      <c r="G21" s="2"/>
      <c r="H21" s="3" t="str">
        <f>IFERROR(AVERAGE('Daily Tracker'!N135:N141),"")</f>
        <v/>
      </c>
      <c r="I21" s="3" t="str">
        <f t="shared" si="0"/>
        <v/>
      </c>
      <c r="J21" s="2"/>
      <c r="K21" s="2"/>
      <c r="L21" s="2"/>
    </row>
    <row r="22" spans="1:12" x14ac:dyDescent="0.35">
      <c r="A22" s="5">
        <v>46391</v>
      </c>
      <c r="B22" s="2" t="s">
        <v>66</v>
      </c>
      <c r="C22" s="2">
        <f>COUNTIF('Daily Tracker'!C142:C148,"✓")</f>
        <v>0</v>
      </c>
      <c r="D22" s="2">
        <f>COUNTIF('Daily Tracker'!D142:D148,"✓")</f>
        <v>0</v>
      </c>
      <c r="E22" s="2">
        <f>COUNTIF('Daily Tracker'!E142:E148,"✓")</f>
        <v>0</v>
      </c>
      <c r="F22" s="2">
        <f>COUNTIF('Daily Tracker'!G142:G148,"✓")</f>
        <v>0</v>
      </c>
      <c r="G22" s="2"/>
      <c r="H22" s="3" t="str">
        <f>IFERROR(AVERAGE('Daily Tracker'!N142:N148),"")</f>
        <v/>
      </c>
      <c r="I22" s="3" t="str">
        <f t="shared" si="0"/>
        <v/>
      </c>
      <c r="J22" s="2"/>
      <c r="K22" s="2"/>
      <c r="L22" s="2"/>
    </row>
    <row r="23" spans="1:12" x14ac:dyDescent="0.35">
      <c r="A23" s="5">
        <v>46398</v>
      </c>
      <c r="B23" s="2" t="s">
        <v>67</v>
      </c>
      <c r="C23" s="2">
        <f>COUNTIF('Daily Tracker'!C149:C155,"✓")</f>
        <v>0</v>
      </c>
      <c r="D23" s="2">
        <f>COUNTIF('Daily Tracker'!D149:D155,"✓")</f>
        <v>0</v>
      </c>
      <c r="E23" s="2">
        <f>COUNTIF('Daily Tracker'!E149:E155,"✓")</f>
        <v>0</v>
      </c>
      <c r="F23" s="2">
        <f>COUNTIF('Daily Tracker'!G149:G155,"✓")</f>
        <v>0</v>
      </c>
      <c r="G23" s="2"/>
      <c r="H23" s="3" t="str">
        <f>IFERROR(AVERAGE('Daily Tracker'!N149:N155),"")</f>
        <v/>
      </c>
      <c r="I23" s="3" t="str">
        <f t="shared" si="0"/>
        <v/>
      </c>
      <c r="J23" s="2"/>
      <c r="K23" s="2"/>
      <c r="L23" s="2"/>
    </row>
    <row r="24" spans="1:12" x14ac:dyDescent="0.35">
      <c r="A24" s="5">
        <v>46405</v>
      </c>
      <c r="B24" s="2" t="s">
        <v>68</v>
      </c>
      <c r="C24" s="2">
        <f>COUNTIF('Daily Tracker'!C156:C162,"✓")</f>
        <v>0</v>
      </c>
      <c r="D24" s="2">
        <f>COUNTIF('Daily Tracker'!D156:D162,"✓")</f>
        <v>0</v>
      </c>
      <c r="E24" s="2">
        <f>COUNTIF('Daily Tracker'!E156:E162,"✓")</f>
        <v>0</v>
      </c>
      <c r="F24" s="2">
        <f>COUNTIF('Daily Tracker'!G156:G162,"✓")</f>
        <v>0</v>
      </c>
      <c r="G24" s="2"/>
      <c r="H24" s="3" t="str">
        <f>IFERROR(AVERAGE('Daily Tracker'!N156:N162),"")</f>
        <v/>
      </c>
      <c r="I24" s="3" t="str">
        <f t="shared" si="0"/>
        <v/>
      </c>
      <c r="J24" s="2"/>
      <c r="K24" s="2"/>
      <c r="L24" s="2"/>
    </row>
    <row r="25" spans="1:12" x14ac:dyDescent="0.35">
      <c r="A25" s="5">
        <v>46412</v>
      </c>
      <c r="B25" s="2" t="s">
        <v>69</v>
      </c>
      <c r="C25" s="2">
        <f>COUNTIF('Daily Tracker'!C163:C169,"✓")</f>
        <v>0</v>
      </c>
      <c r="D25" s="2">
        <f>COUNTIF('Daily Tracker'!D163:D169,"✓")</f>
        <v>0</v>
      </c>
      <c r="E25" s="2">
        <f>COUNTIF('Daily Tracker'!E163:E169,"✓")</f>
        <v>0</v>
      </c>
      <c r="F25" s="2">
        <f>COUNTIF('Daily Tracker'!G163:G169,"✓")</f>
        <v>0</v>
      </c>
      <c r="G25" s="2"/>
      <c r="H25" s="3" t="str">
        <f>IFERROR(AVERAGE('Daily Tracker'!N163:N169),"")</f>
        <v/>
      </c>
      <c r="I25" s="3" t="str">
        <f t="shared" si="0"/>
        <v/>
      </c>
      <c r="J25" s="2"/>
      <c r="K25" s="2"/>
      <c r="L25" s="2"/>
    </row>
    <row r="26" spans="1:12" x14ac:dyDescent="0.35">
      <c r="A26" s="5">
        <v>46419</v>
      </c>
      <c r="B26" s="2" t="s">
        <v>70</v>
      </c>
      <c r="C26" s="2">
        <f>COUNTIF('Daily Tracker'!C170:C176,"✓")</f>
        <v>0</v>
      </c>
      <c r="D26" s="2">
        <f>COUNTIF('Daily Tracker'!D170:D176,"✓")</f>
        <v>0</v>
      </c>
      <c r="E26" s="2">
        <f>COUNTIF('Daily Tracker'!E170:E176,"✓")</f>
        <v>0</v>
      </c>
      <c r="F26" s="2">
        <f>COUNTIF('Daily Tracker'!G170:G176,"✓")</f>
        <v>0</v>
      </c>
      <c r="G26" s="2"/>
      <c r="H26" s="3" t="str">
        <f>IFERROR(AVERAGE('Daily Tracker'!N170:N176),"")</f>
        <v/>
      </c>
      <c r="I26" s="3" t="str">
        <f t="shared" si="0"/>
        <v/>
      </c>
      <c r="J26" s="2"/>
      <c r="K26" s="2"/>
      <c r="L26" s="2"/>
    </row>
    <row r="27" spans="1:12" x14ac:dyDescent="0.35">
      <c r="A27" s="5">
        <v>46426</v>
      </c>
      <c r="B27" s="2" t="s">
        <v>71</v>
      </c>
      <c r="C27" s="2">
        <f>COUNTIF('Daily Tracker'!C177:C183,"✓")</f>
        <v>0</v>
      </c>
      <c r="D27" s="2">
        <f>COUNTIF('Daily Tracker'!D177:D183,"✓")</f>
        <v>0</v>
      </c>
      <c r="E27" s="2">
        <f>COUNTIF('Daily Tracker'!E177:E183,"✓")</f>
        <v>0</v>
      </c>
      <c r="F27" s="2">
        <f>COUNTIF('Daily Tracker'!G177:G183,"✓")</f>
        <v>0</v>
      </c>
      <c r="G27" s="2"/>
      <c r="H27" s="3" t="str">
        <f>IFERROR(AVERAGE('Daily Tracker'!N177:N183),"")</f>
        <v/>
      </c>
      <c r="I27" s="3" t="str">
        <f t="shared" si="0"/>
        <v/>
      </c>
      <c r="J27" s="2"/>
      <c r="K27" s="2"/>
      <c r="L27" s="2"/>
    </row>
    <row r="28" spans="1:12" x14ac:dyDescent="0.35">
      <c r="A28" s="5">
        <v>46433</v>
      </c>
      <c r="B28" s="2" t="s">
        <v>72</v>
      </c>
      <c r="C28" s="2">
        <f>COUNTIF('Daily Tracker'!C184:C190,"✓")</f>
        <v>0</v>
      </c>
      <c r="D28" s="2">
        <f>COUNTIF('Daily Tracker'!D184:D190,"✓")</f>
        <v>0</v>
      </c>
      <c r="E28" s="2">
        <f>COUNTIF('Daily Tracker'!E184:E190,"✓")</f>
        <v>0</v>
      </c>
      <c r="F28" s="2">
        <f>COUNTIF('Daily Tracker'!G184:G190,"✓")</f>
        <v>0</v>
      </c>
      <c r="G28" s="2"/>
      <c r="H28" s="3" t="str">
        <f>IFERROR(AVERAGE('Daily Tracker'!N184:N190),"")</f>
        <v/>
      </c>
      <c r="I28" s="3" t="str">
        <f t="shared" si="0"/>
        <v/>
      </c>
      <c r="J28" s="2"/>
      <c r="K28" s="2"/>
      <c r="L28" s="2"/>
    </row>
    <row r="29" spans="1:12" x14ac:dyDescent="0.35">
      <c r="A29" s="5">
        <v>46440</v>
      </c>
      <c r="B29" s="2" t="s">
        <v>73</v>
      </c>
      <c r="C29" s="2">
        <f>COUNTIF('Daily Tracker'!C191:C197,"✓")</f>
        <v>0</v>
      </c>
      <c r="D29" s="2">
        <f>COUNTIF('Daily Tracker'!D191:D197,"✓")</f>
        <v>0</v>
      </c>
      <c r="E29" s="2">
        <f>COUNTIF('Daily Tracker'!E191:E197,"✓")</f>
        <v>0</v>
      </c>
      <c r="F29" s="2">
        <f>COUNTIF('Daily Tracker'!G191:G197,"✓")</f>
        <v>0</v>
      </c>
      <c r="G29" s="2"/>
      <c r="H29" s="3" t="str">
        <f>IFERROR(AVERAGE('Daily Tracker'!N191:N197),"")</f>
        <v/>
      </c>
      <c r="I29" s="3" t="str">
        <f t="shared" si="0"/>
        <v/>
      </c>
      <c r="J29" s="2"/>
      <c r="K29" s="2"/>
      <c r="L29" s="2"/>
    </row>
    <row r="30" spans="1:12" x14ac:dyDescent="0.35">
      <c r="A30" s="5">
        <v>46447</v>
      </c>
      <c r="B30" s="2" t="s">
        <v>74</v>
      </c>
      <c r="C30" s="2">
        <f>COUNTIF('Daily Tracker'!C198:C204,"✓")</f>
        <v>0</v>
      </c>
      <c r="D30" s="2">
        <f>COUNTIF('Daily Tracker'!D198:D204,"✓")</f>
        <v>0</v>
      </c>
      <c r="E30" s="2">
        <f>COUNTIF('Daily Tracker'!E198:E204,"✓")</f>
        <v>0</v>
      </c>
      <c r="F30" s="2">
        <f>COUNTIF('Daily Tracker'!G198:G204,"✓")</f>
        <v>0</v>
      </c>
      <c r="G30" s="2"/>
      <c r="H30" s="3" t="str">
        <f>IFERROR(AVERAGE('Daily Tracker'!N198:N204),"")</f>
        <v/>
      </c>
      <c r="I30" s="3" t="str">
        <f t="shared" si="0"/>
        <v/>
      </c>
      <c r="J30" s="2"/>
      <c r="K30" s="2"/>
      <c r="L30" s="2"/>
    </row>
    <row r="31" spans="1:12" x14ac:dyDescent="0.35">
      <c r="A31" s="5">
        <v>46454</v>
      </c>
      <c r="B31" s="2" t="s">
        <v>75</v>
      </c>
      <c r="C31" s="2">
        <f>COUNTIF('Daily Tracker'!C205:C211,"✓")</f>
        <v>0</v>
      </c>
      <c r="D31" s="2">
        <f>COUNTIF('Daily Tracker'!D205:D211,"✓")</f>
        <v>0</v>
      </c>
      <c r="E31" s="2">
        <f>COUNTIF('Daily Tracker'!E205:E211,"✓")</f>
        <v>0</v>
      </c>
      <c r="F31" s="2">
        <f>COUNTIF('Daily Tracker'!G205:G211,"✓")</f>
        <v>0</v>
      </c>
      <c r="G31" s="2"/>
      <c r="H31" s="3" t="str">
        <f>IFERROR(AVERAGE('Daily Tracker'!N205:N211),"")</f>
        <v/>
      </c>
      <c r="I31" s="3" t="str">
        <f t="shared" si="0"/>
        <v/>
      </c>
      <c r="J31" s="2"/>
      <c r="K31" s="2"/>
      <c r="L31" s="2"/>
    </row>
    <row r="32" spans="1:12" x14ac:dyDescent="0.35">
      <c r="A32" s="5">
        <v>46461</v>
      </c>
      <c r="B32" s="2" t="s">
        <v>76</v>
      </c>
      <c r="C32" s="2">
        <f>COUNTIF('Daily Tracker'!C212:C218,"✓")</f>
        <v>0</v>
      </c>
      <c r="D32" s="2">
        <f>COUNTIF('Daily Tracker'!D212:D218,"✓")</f>
        <v>0</v>
      </c>
      <c r="E32" s="2">
        <f>COUNTIF('Daily Tracker'!E212:E218,"✓")</f>
        <v>0</v>
      </c>
      <c r="F32" s="2">
        <f>COUNTIF('Daily Tracker'!G212:G218,"✓")</f>
        <v>0</v>
      </c>
      <c r="G32" s="2"/>
      <c r="H32" s="3" t="str">
        <f>IFERROR(AVERAGE('Daily Tracker'!N212:N218),"")</f>
        <v/>
      </c>
      <c r="I32" s="3" t="str">
        <f t="shared" si="0"/>
        <v/>
      </c>
      <c r="J32" s="2"/>
      <c r="K32" s="2"/>
      <c r="L32" s="2"/>
    </row>
    <row r="33" spans="1:12" x14ac:dyDescent="0.35">
      <c r="A33" s="5">
        <v>46468</v>
      </c>
      <c r="B33" s="2" t="s">
        <v>77</v>
      </c>
      <c r="C33" s="2">
        <f>COUNTIF('Daily Tracker'!C219:C225,"✓")</f>
        <v>0</v>
      </c>
      <c r="D33" s="2">
        <f>COUNTIF('Daily Tracker'!D219:D225,"✓")</f>
        <v>0</v>
      </c>
      <c r="E33" s="2">
        <f>COUNTIF('Daily Tracker'!E219:E225,"✓")</f>
        <v>0</v>
      </c>
      <c r="F33" s="2">
        <f>COUNTIF('Daily Tracker'!G219:G225,"✓")</f>
        <v>0</v>
      </c>
      <c r="G33" s="2"/>
      <c r="H33" s="3" t="str">
        <f>IFERROR(AVERAGE('Daily Tracker'!N219:N225),"")</f>
        <v/>
      </c>
      <c r="I33" s="3" t="str">
        <f t="shared" si="0"/>
        <v/>
      </c>
      <c r="J33" s="2"/>
      <c r="K33" s="2"/>
      <c r="L33" s="2"/>
    </row>
    <row r="34" spans="1:12" x14ac:dyDescent="0.35">
      <c r="A34" s="5">
        <v>46475</v>
      </c>
      <c r="B34" s="2" t="s">
        <v>78</v>
      </c>
      <c r="C34" s="2">
        <f>COUNTIF('Daily Tracker'!C226:C232,"✓")</f>
        <v>0</v>
      </c>
      <c r="D34" s="2">
        <f>COUNTIF('Daily Tracker'!D226:D232,"✓")</f>
        <v>0</v>
      </c>
      <c r="E34" s="2">
        <f>COUNTIF('Daily Tracker'!E226:E232,"✓")</f>
        <v>0</v>
      </c>
      <c r="F34" s="2">
        <f>COUNTIF('Daily Tracker'!G226:G232,"✓")</f>
        <v>0</v>
      </c>
      <c r="G34" s="2"/>
      <c r="H34" s="3" t="str">
        <f>IFERROR(AVERAGE('Daily Tracker'!N226:N232),"")</f>
        <v/>
      </c>
      <c r="I34" s="3" t="str">
        <f t="shared" ref="I34:I53" si="1">IF(H34="","",H34)</f>
        <v/>
      </c>
      <c r="J34" s="2"/>
      <c r="K34" s="2"/>
      <c r="L34" s="2"/>
    </row>
    <row r="35" spans="1:12" x14ac:dyDescent="0.35">
      <c r="A35" s="5">
        <v>46482</v>
      </c>
      <c r="B35" s="2" t="s">
        <v>79</v>
      </c>
      <c r="C35" s="2">
        <f>COUNTIF('Daily Tracker'!C233:C239,"✓")</f>
        <v>0</v>
      </c>
      <c r="D35" s="2">
        <f>COUNTIF('Daily Tracker'!D233:D239,"✓")</f>
        <v>0</v>
      </c>
      <c r="E35" s="2">
        <f>COUNTIF('Daily Tracker'!E233:E239,"✓")</f>
        <v>0</v>
      </c>
      <c r="F35" s="2">
        <f>COUNTIF('Daily Tracker'!G233:G239,"✓")</f>
        <v>0</v>
      </c>
      <c r="G35" s="2"/>
      <c r="H35" s="3" t="str">
        <f>IFERROR(AVERAGE('Daily Tracker'!N233:N239),"")</f>
        <v/>
      </c>
      <c r="I35" s="3" t="str">
        <f t="shared" si="1"/>
        <v/>
      </c>
      <c r="J35" s="2"/>
      <c r="K35" s="2"/>
      <c r="L35" s="2"/>
    </row>
    <row r="36" spans="1:12" x14ac:dyDescent="0.35">
      <c r="A36" s="5">
        <v>46489</v>
      </c>
      <c r="B36" s="2" t="s">
        <v>80</v>
      </c>
      <c r="C36" s="2">
        <f>COUNTIF('Daily Tracker'!C240:C246,"✓")</f>
        <v>0</v>
      </c>
      <c r="D36" s="2">
        <f>COUNTIF('Daily Tracker'!D240:D246,"✓")</f>
        <v>0</v>
      </c>
      <c r="E36" s="2">
        <f>COUNTIF('Daily Tracker'!E240:E246,"✓")</f>
        <v>0</v>
      </c>
      <c r="F36" s="2">
        <f>COUNTIF('Daily Tracker'!G240:G246,"✓")</f>
        <v>0</v>
      </c>
      <c r="G36" s="2"/>
      <c r="H36" s="3" t="str">
        <f>IFERROR(AVERAGE('Daily Tracker'!N240:N246),"")</f>
        <v/>
      </c>
      <c r="I36" s="3" t="str">
        <f t="shared" si="1"/>
        <v/>
      </c>
      <c r="J36" s="2"/>
      <c r="K36" s="2"/>
      <c r="L36" s="2"/>
    </row>
    <row r="37" spans="1:12" x14ac:dyDescent="0.35">
      <c r="A37" s="5">
        <v>46496</v>
      </c>
      <c r="B37" s="2" t="s">
        <v>81</v>
      </c>
      <c r="C37" s="2">
        <f>COUNTIF('Daily Tracker'!C247:C253,"✓")</f>
        <v>0</v>
      </c>
      <c r="D37" s="2">
        <f>COUNTIF('Daily Tracker'!D247:D253,"✓")</f>
        <v>0</v>
      </c>
      <c r="E37" s="2">
        <f>COUNTIF('Daily Tracker'!E247:E253,"✓")</f>
        <v>0</v>
      </c>
      <c r="F37" s="2">
        <f>COUNTIF('Daily Tracker'!G247:G253,"✓")</f>
        <v>0</v>
      </c>
      <c r="G37" s="2"/>
      <c r="H37" s="3" t="str">
        <f>IFERROR(AVERAGE('Daily Tracker'!N247:N253),"")</f>
        <v/>
      </c>
      <c r="I37" s="3" t="str">
        <f t="shared" si="1"/>
        <v/>
      </c>
      <c r="J37" s="2"/>
      <c r="K37" s="2"/>
      <c r="L37" s="2"/>
    </row>
    <row r="38" spans="1:12" x14ac:dyDescent="0.35">
      <c r="A38" s="5">
        <v>46503</v>
      </c>
      <c r="B38" s="2" t="s">
        <v>82</v>
      </c>
      <c r="C38" s="2">
        <f>COUNTIF('Daily Tracker'!C254:C260,"✓")</f>
        <v>0</v>
      </c>
      <c r="D38" s="2">
        <f>COUNTIF('Daily Tracker'!D254:D260,"✓")</f>
        <v>0</v>
      </c>
      <c r="E38" s="2">
        <f>COUNTIF('Daily Tracker'!E254:E260,"✓")</f>
        <v>0</v>
      </c>
      <c r="F38" s="2">
        <f>COUNTIF('Daily Tracker'!G254:G260,"✓")</f>
        <v>0</v>
      </c>
      <c r="G38" s="2"/>
      <c r="H38" s="3" t="str">
        <f>IFERROR(AVERAGE('Daily Tracker'!N254:N260),"")</f>
        <v/>
      </c>
      <c r="I38" s="3" t="str">
        <f t="shared" si="1"/>
        <v/>
      </c>
      <c r="J38" s="2"/>
      <c r="K38" s="2"/>
      <c r="L38" s="2"/>
    </row>
    <row r="39" spans="1:12" x14ac:dyDescent="0.35">
      <c r="A39" s="5">
        <v>46510</v>
      </c>
      <c r="B39" s="2" t="s">
        <v>83</v>
      </c>
      <c r="C39" s="2">
        <f>COUNTIF('Daily Tracker'!C261:C267,"✓")</f>
        <v>0</v>
      </c>
      <c r="D39" s="2">
        <f>COUNTIF('Daily Tracker'!D261:D267,"✓")</f>
        <v>0</v>
      </c>
      <c r="E39" s="2">
        <f>COUNTIF('Daily Tracker'!E261:E267,"✓")</f>
        <v>0</v>
      </c>
      <c r="F39" s="2">
        <f>COUNTIF('Daily Tracker'!G261:G267,"✓")</f>
        <v>0</v>
      </c>
      <c r="G39" s="2"/>
      <c r="H39" s="3" t="str">
        <f>IFERROR(AVERAGE('Daily Tracker'!N261:N267),"")</f>
        <v/>
      </c>
      <c r="I39" s="3" t="str">
        <f t="shared" si="1"/>
        <v/>
      </c>
      <c r="J39" s="2"/>
      <c r="K39" s="2"/>
      <c r="L39" s="2"/>
    </row>
    <row r="40" spans="1:12" x14ac:dyDescent="0.35">
      <c r="A40" s="5">
        <v>46517</v>
      </c>
      <c r="B40" s="2" t="s">
        <v>84</v>
      </c>
      <c r="C40" s="2">
        <f>COUNTIF('Daily Tracker'!C268:C274,"✓")</f>
        <v>0</v>
      </c>
      <c r="D40" s="2">
        <f>COUNTIF('Daily Tracker'!D268:D274,"✓")</f>
        <v>0</v>
      </c>
      <c r="E40" s="2">
        <f>COUNTIF('Daily Tracker'!E268:E274,"✓")</f>
        <v>0</v>
      </c>
      <c r="F40" s="2">
        <f>COUNTIF('Daily Tracker'!G268:G274,"✓")</f>
        <v>0</v>
      </c>
      <c r="G40" s="2"/>
      <c r="H40" s="3" t="str">
        <f>IFERROR(AVERAGE('Daily Tracker'!N268:N274),"")</f>
        <v/>
      </c>
      <c r="I40" s="3" t="str">
        <f t="shared" si="1"/>
        <v/>
      </c>
      <c r="J40" s="2"/>
      <c r="K40" s="2"/>
      <c r="L40" s="2"/>
    </row>
    <row r="41" spans="1:12" x14ac:dyDescent="0.35">
      <c r="A41" s="5">
        <v>46524</v>
      </c>
      <c r="B41" s="2" t="s">
        <v>85</v>
      </c>
      <c r="C41" s="2">
        <f>COUNTIF('Daily Tracker'!C275:C281,"✓")</f>
        <v>0</v>
      </c>
      <c r="D41" s="2">
        <f>COUNTIF('Daily Tracker'!D275:D281,"✓")</f>
        <v>0</v>
      </c>
      <c r="E41" s="2">
        <f>COUNTIF('Daily Tracker'!E275:E281,"✓")</f>
        <v>0</v>
      </c>
      <c r="F41" s="2">
        <f>COUNTIF('Daily Tracker'!G275:G281,"✓")</f>
        <v>0</v>
      </c>
      <c r="G41" s="2"/>
      <c r="H41" s="3" t="str">
        <f>IFERROR(AVERAGE('Daily Tracker'!N275:N281),"")</f>
        <v/>
      </c>
      <c r="I41" s="3" t="str">
        <f t="shared" si="1"/>
        <v/>
      </c>
      <c r="J41" s="2"/>
      <c r="K41" s="2"/>
      <c r="L41" s="2"/>
    </row>
    <row r="42" spans="1:12" x14ac:dyDescent="0.35">
      <c r="A42" s="5">
        <v>46531</v>
      </c>
      <c r="B42" s="2" t="s">
        <v>86</v>
      </c>
      <c r="C42" s="2">
        <f>COUNTIF('Daily Tracker'!C282:C288,"✓")</f>
        <v>0</v>
      </c>
      <c r="D42" s="2">
        <f>COUNTIF('Daily Tracker'!D282:D288,"✓")</f>
        <v>0</v>
      </c>
      <c r="E42" s="2">
        <f>COUNTIF('Daily Tracker'!E282:E288,"✓")</f>
        <v>0</v>
      </c>
      <c r="F42" s="2">
        <f>COUNTIF('Daily Tracker'!G282:G288,"✓")</f>
        <v>0</v>
      </c>
      <c r="G42" s="2"/>
      <c r="H42" s="3" t="str">
        <f>IFERROR(AVERAGE('Daily Tracker'!N282:N288),"")</f>
        <v/>
      </c>
      <c r="I42" s="3" t="str">
        <f t="shared" si="1"/>
        <v/>
      </c>
      <c r="J42" s="2"/>
      <c r="K42" s="2"/>
      <c r="L42" s="2"/>
    </row>
    <row r="43" spans="1:12" x14ac:dyDescent="0.35">
      <c r="A43" s="5">
        <v>46538</v>
      </c>
      <c r="B43" s="2" t="s">
        <v>87</v>
      </c>
      <c r="C43" s="2">
        <f>COUNTIF('Daily Tracker'!C289:C295,"✓")</f>
        <v>0</v>
      </c>
      <c r="D43" s="2">
        <f>COUNTIF('Daily Tracker'!D289:D295,"✓")</f>
        <v>0</v>
      </c>
      <c r="E43" s="2">
        <f>COUNTIF('Daily Tracker'!E289:E295,"✓")</f>
        <v>0</v>
      </c>
      <c r="F43" s="2">
        <f>COUNTIF('Daily Tracker'!G289:G295,"✓")</f>
        <v>0</v>
      </c>
      <c r="G43" s="2"/>
      <c r="H43" s="3" t="str">
        <f>IFERROR(AVERAGE('Daily Tracker'!N289:N295),"")</f>
        <v/>
      </c>
      <c r="I43" s="3" t="str">
        <f t="shared" si="1"/>
        <v/>
      </c>
      <c r="J43" s="2"/>
      <c r="K43" s="2"/>
      <c r="L43" s="2"/>
    </row>
    <row r="44" spans="1:12" x14ac:dyDescent="0.35">
      <c r="A44" s="5">
        <v>46545</v>
      </c>
      <c r="B44" s="2" t="s">
        <v>88</v>
      </c>
      <c r="C44" s="2">
        <f>COUNTIF('Daily Tracker'!C296:C302,"✓")</f>
        <v>0</v>
      </c>
      <c r="D44" s="2">
        <f>COUNTIF('Daily Tracker'!D296:D302,"✓")</f>
        <v>0</v>
      </c>
      <c r="E44" s="2">
        <f>COUNTIF('Daily Tracker'!E296:E302,"✓")</f>
        <v>0</v>
      </c>
      <c r="F44" s="2">
        <f>COUNTIF('Daily Tracker'!G296:G302,"✓")</f>
        <v>0</v>
      </c>
      <c r="G44" s="2"/>
      <c r="H44" s="3" t="str">
        <f>IFERROR(AVERAGE('Daily Tracker'!N296:N302),"")</f>
        <v/>
      </c>
      <c r="I44" s="3" t="str">
        <f t="shared" si="1"/>
        <v/>
      </c>
      <c r="J44" s="2"/>
      <c r="K44" s="2"/>
      <c r="L44" s="2"/>
    </row>
    <row r="45" spans="1:12" x14ac:dyDescent="0.35">
      <c r="A45" s="5">
        <v>46552</v>
      </c>
      <c r="B45" s="2" t="s">
        <v>89</v>
      </c>
      <c r="C45" s="2">
        <f>COUNTIF('Daily Tracker'!C303:C309,"✓")</f>
        <v>0</v>
      </c>
      <c r="D45" s="2">
        <f>COUNTIF('Daily Tracker'!D303:D309,"✓")</f>
        <v>0</v>
      </c>
      <c r="E45" s="2">
        <f>COUNTIF('Daily Tracker'!E303:E309,"✓")</f>
        <v>0</v>
      </c>
      <c r="F45" s="2">
        <f>COUNTIF('Daily Tracker'!G303:G309,"✓")</f>
        <v>0</v>
      </c>
      <c r="G45" s="2"/>
      <c r="H45" s="3" t="str">
        <f>IFERROR(AVERAGE('Daily Tracker'!N303:N309),"")</f>
        <v/>
      </c>
      <c r="I45" s="3" t="str">
        <f t="shared" si="1"/>
        <v/>
      </c>
      <c r="J45" s="2"/>
      <c r="K45" s="2"/>
      <c r="L45" s="2"/>
    </row>
    <row r="46" spans="1:12" x14ac:dyDescent="0.35">
      <c r="A46" s="5">
        <v>46559</v>
      </c>
      <c r="B46" s="2" t="s">
        <v>90</v>
      </c>
      <c r="C46" s="2">
        <f>COUNTIF('Daily Tracker'!C310:C316,"✓")</f>
        <v>0</v>
      </c>
      <c r="D46" s="2">
        <f>COUNTIF('Daily Tracker'!D310:D316,"✓")</f>
        <v>0</v>
      </c>
      <c r="E46" s="2">
        <f>COUNTIF('Daily Tracker'!E310:E316,"✓")</f>
        <v>0</v>
      </c>
      <c r="F46" s="2">
        <f>COUNTIF('Daily Tracker'!G310:G316,"✓")</f>
        <v>0</v>
      </c>
      <c r="G46" s="2"/>
      <c r="H46" s="3" t="str">
        <f>IFERROR(AVERAGE('Daily Tracker'!N310:N316),"")</f>
        <v/>
      </c>
      <c r="I46" s="3" t="str">
        <f t="shared" si="1"/>
        <v/>
      </c>
      <c r="J46" s="2"/>
      <c r="K46" s="2"/>
      <c r="L46" s="2"/>
    </row>
    <row r="47" spans="1:12" x14ac:dyDescent="0.35">
      <c r="A47" s="5">
        <v>46566</v>
      </c>
      <c r="B47" s="2" t="s">
        <v>91</v>
      </c>
      <c r="C47" s="2">
        <f>COUNTIF('Daily Tracker'!C317:C323,"✓")</f>
        <v>0</v>
      </c>
      <c r="D47" s="2">
        <f>COUNTIF('Daily Tracker'!D317:D323,"✓")</f>
        <v>0</v>
      </c>
      <c r="E47" s="2">
        <f>COUNTIF('Daily Tracker'!E317:E323,"✓")</f>
        <v>0</v>
      </c>
      <c r="F47" s="2">
        <f>COUNTIF('Daily Tracker'!G317:G323,"✓")</f>
        <v>0</v>
      </c>
      <c r="G47" s="2"/>
      <c r="H47" s="3" t="str">
        <f>IFERROR(AVERAGE('Daily Tracker'!N317:N323),"")</f>
        <v/>
      </c>
      <c r="I47" s="3" t="str">
        <f t="shared" si="1"/>
        <v/>
      </c>
      <c r="J47" s="2"/>
      <c r="K47" s="2"/>
      <c r="L47" s="2"/>
    </row>
    <row r="48" spans="1:12" x14ac:dyDescent="0.35">
      <c r="A48" s="5">
        <v>46573</v>
      </c>
      <c r="B48" s="2" t="s">
        <v>92</v>
      </c>
      <c r="C48" s="2">
        <f>COUNTIF('Daily Tracker'!C324:C330,"✓")</f>
        <v>0</v>
      </c>
      <c r="D48" s="2">
        <f>COUNTIF('Daily Tracker'!D324:D330,"✓")</f>
        <v>0</v>
      </c>
      <c r="E48" s="2">
        <f>COUNTIF('Daily Tracker'!E324:E330,"✓")</f>
        <v>0</v>
      </c>
      <c r="F48" s="2">
        <f>COUNTIF('Daily Tracker'!G324:G330,"✓")</f>
        <v>0</v>
      </c>
      <c r="G48" s="2"/>
      <c r="H48" s="3" t="str">
        <f>IFERROR(AVERAGE('Daily Tracker'!N324:N330),"")</f>
        <v/>
      </c>
      <c r="I48" s="3" t="str">
        <f t="shared" si="1"/>
        <v/>
      </c>
      <c r="J48" s="2"/>
      <c r="K48" s="2"/>
      <c r="L48" s="2"/>
    </row>
    <row r="49" spans="1:12" x14ac:dyDescent="0.35">
      <c r="A49" s="5">
        <v>46580</v>
      </c>
      <c r="B49" s="2" t="s">
        <v>93</v>
      </c>
      <c r="C49" s="2">
        <f>COUNTIF('Daily Tracker'!C331:C337,"✓")</f>
        <v>0</v>
      </c>
      <c r="D49" s="2">
        <f>COUNTIF('Daily Tracker'!D331:D337,"✓")</f>
        <v>0</v>
      </c>
      <c r="E49" s="2">
        <f>COUNTIF('Daily Tracker'!E331:E337,"✓")</f>
        <v>0</v>
      </c>
      <c r="F49" s="2">
        <f>COUNTIF('Daily Tracker'!G331:G337,"✓")</f>
        <v>0</v>
      </c>
      <c r="G49" s="2"/>
      <c r="H49" s="3" t="str">
        <f>IFERROR(AVERAGE('Daily Tracker'!N331:N337),"")</f>
        <v/>
      </c>
      <c r="I49" s="3" t="str">
        <f t="shared" si="1"/>
        <v/>
      </c>
      <c r="J49" s="2"/>
      <c r="K49" s="2"/>
      <c r="L49" s="2"/>
    </row>
    <row r="50" spans="1:12" x14ac:dyDescent="0.35">
      <c r="A50" s="5">
        <v>46587</v>
      </c>
      <c r="B50" s="2" t="s">
        <v>94</v>
      </c>
      <c r="C50" s="2">
        <f>COUNTIF('Daily Tracker'!C338:C344,"✓")</f>
        <v>0</v>
      </c>
      <c r="D50" s="2">
        <f>COUNTIF('Daily Tracker'!D338:D344,"✓")</f>
        <v>0</v>
      </c>
      <c r="E50" s="2">
        <f>COUNTIF('Daily Tracker'!E338:E344,"✓")</f>
        <v>0</v>
      </c>
      <c r="F50" s="2">
        <f>COUNTIF('Daily Tracker'!G338:G344,"✓")</f>
        <v>0</v>
      </c>
      <c r="G50" s="2"/>
      <c r="H50" s="3" t="str">
        <f>IFERROR(AVERAGE('Daily Tracker'!N338:N344),"")</f>
        <v/>
      </c>
      <c r="I50" s="3" t="str">
        <f t="shared" si="1"/>
        <v/>
      </c>
      <c r="J50" s="2"/>
      <c r="K50" s="2"/>
      <c r="L50" s="2"/>
    </row>
    <row r="51" spans="1:12" x14ac:dyDescent="0.35">
      <c r="A51" s="5">
        <v>46594</v>
      </c>
      <c r="B51" s="2" t="s">
        <v>95</v>
      </c>
      <c r="C51" s="2">
        <f>COUNTIF('Daily Tracker'!C345:C351,"✓")</f>
        <v>0</v>
      </c>
      <c r="D51" s="2">
        <f>COUNTIF('Daily Tracker'!D345:D351,"✓")</f>
        <v>0</v>
      </c>
      <c r="E51" s="2">
        <f>COUNTIF('Daily Tracker'!E345:E351,"✓")</f>
        <v>0</v>
      </c>
      <c r="F51" s="2">
        <f>COUNTIF('Daily Tracker'!G345:G351,"✓")</f>
        <v>0</v>
      </c>
      <c r="G51" s="2"/>
      <c r="H51" s="3" t="str">
        <f>IFERROR(AVERAGE('Daily Tracker'!N345:N351),"")</f>
        <v/>
      </c>
      <c r="I51" s="3" t="str">
        <f t="shared" si="1"/>
        <v/>
      </c>
      <c r="J51" s="2"/>
      <c r="K51" s="2"/>
      <c r="L51" s="2"/>
    </row>
    <row r="52" spans="1:12" x14ac:dyDescent="0.35">
      <c r="A52" s="5">
        <v>46601</v>
      </c>
      <c r="B52" s="2" t="s">
        <v>96</v>
      </c>
      <c r="C52" s="2">
        <f>COUNTIF('Daily Tracker'!C352:C358,"✓")</f>
        <v>0</v>
      </c>
      <c r="D52" s="2">
        <f>COUNTIF('Daily Tracker'!D352:D358,"✓")</f>
        <v>0</v>
      </c>
      <c r="E52" s="2">
        <f>COUNTIF('Daily Tracker'!E352:E358,"✓")</f>
        <v>0</v>
      </c>
      <c r="F52" s="2">
        <f>COUNTIF('Daily Tracker'!G352:G358,"✓")</f>
        <v>0</v>
      </c>
      <c r="G52" s="2"/>
      <c r="H52" s="3" t="str">
        <f>IFERROR(AVERAGE('Daily Tracker'!N352:N358),"")</f>
        <v/>
      </c>
      <c r="I52" s="3" t="str">
        <f t="shared" si="1"/>
        <v/>
      </c>
      <c r="J52" s="2"/>
      <c r="K52" s="2"/>
      <c r="L52" s="2"/>
    </row>
    <row r="53" spans="1:12" x14ac:dyDescent="0.35">
      <c r="A53" s="5">
        <v>46608</v>
      </c>
      <c r="B53" s="2" t="s">
        <v>97</v>
      </c>
      <c r="C53" s="2">
        <f>COUNTIF('Daily Tracker'!C359:C365,"✓")</f>
        <v>0</v>
      </c>
      <c r="D53" s="2">
        <f>COUNTIF('Daily Tracker'!D359:D365,"✓")</f>
        <v>0</v>
      </c>
      <c r="E53" s="2">
        <f>COUNTIF('Daily Tracker'!E359:E365,"✓")</f>
        <v>0</v>
      </c>
      <c r="F53" s="2">
        <f>COUNTIF('Daily Tracker'!G359:G365,"✓")</f>
        <v>0</v>
      </c>
      <c r="G53" s="2"/>
      <c r="H53" s="3" t="str">
        <f>IFERROR(AVERAGE('Daily Tracker'!N359:N365),"")</f>
        <v/>
      </c>
      <c r="I53" s="3" t="str">
        <f t="shared" si="1"/>
        <v/>
      </c>
      <c r="J53" s="2"/>
      <c r="K53" s="2"/>
      <c r="L53" s="2"/>
    </row>
  </sheetData>
  <autoFilter ref="A1:L53" xr:uid="{00000000-0009-0000-0000-000002000000}"/>
  <conditionalFormatting sqref="I2:I53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workbookViewId="0">
      <pane ySplit="1" topLeftCell="A2" activePane="bottomLeft" state="frozen"/>
      <selection pane="bottomLeft" activeCell="I4" sqref="I4"/>
    </sheetView>
  </sheetViews>
  <sheetFormatPr defaultRowHeight="14.5" x14ac:dyDescent="0.35"/>
  <cols>
    <col min="1" max="1" width="12" customWidth="1"/>
    <col min="2" max="2" width="22" customWidth="1"/>
    <col min="3" max="3" width="15" customWidth="1"/>
    <col min="4" max="4" width="20" customWidth="1"/>
    <col min="5" max="5" width="17" customWidth="1"/>
    <col min="6" max="6" width="16" customWidth="1"/>
    <col min="7" max="8" width="20" customWidth="1"/>
    <col min="9" max="10" width="18" customWidth="1"/>
    <col min="11" max="11" width="20" customWidth="1"/>
    <col min="12" max="12" width="14" customWidth="1"/>
    <col min="13" max="14" width="13" customWidth="1"/>
    <col min="15" max="15" width="14" customWidth="1"/>
    <col min="16" max="16" width="28" customWidth="1"/>
    <col min="17" max="17" width="24" customWidth="1"/>
    <col min="18" max="18" width="20" customWidth="1"/>
  </cols>
  <sheetData>
    <row r="1" spans="1:18" x14ac:dyDescent="0.3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38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</row>
    <row r="2" spans="1:18" x14ac:dyDescent="0.35">
      <c r="A2" s="5">
        <v>46266</v>
      </c>
      <c r="B2" s="2"/>
      <c r="C2" s="2"/>
      <c r="D2" s="2">
        <v>50</v>
      </c>
      <c r="E2" s="2">
        <v>1</v>
      </c>
      <c r="F2" s="2">
        <v>24</v>
      </c>
      <c r="G2" s="2"/>
      <c r="H2" s="2"/>
      <c r="I2" s="2">
        <v>10</v>
      </c>
      <c r="J2" s="2"/>
      <c r="K2" s="2"/>
      <c r="L2" s="2"/>
      <c r="M2" s="2"/>
      <c r="N2" s="2"/>
      <c r="O2" s="2"/>
      <c r="P2" s="3">
        <f t="shared" ref="P2:P13" si="0">IFERROR(AVERAGE(MIN(J2/D2,1),MIN(K2/E2,1),MIN(L2/F2,1),MIN(I2/I2,1)), "")</f>
        <v>0.25</v>
      </c>
      <c r="Q2" s="4">
        <f t="shared" ref="Q2:Q13" si="1">IF(P2="","",P2*100)</f>
        <v>25</v>
      </c>
      <c r="R2" s="2"/>
    </row>
    <row r="3" spans="1:18" x14ac:dyDescent="0.35">
      <c r="A3" s="5">
        <v>46296</v>
      </c>
      <c r="B3" s="2"/>
      <c r="C3" s="2"/>
      <c r="D3" s="2">
        <v>50</v>
      </c>
      <c r="E3" s="2">
        <v>1</v>
      </c>
      <c r="F3" s="2">
        <v>24</v>
      </c>
      <c r="G3" s="2"/>
      <c r="H3" s="2"/>
      <c r="I3" s="2">
        <v>10</v>
      </c>
      <c r="J3" s="2"/>
      <c r="K3" s="2"/>
      <c r="L3" s="2"/>
      <c r="M3" s="2"/>
      <c r="N3" s="2"/>
      <c r="O3" s="2"/>
      <c r="P3" s="3">
        <f t="shared" si="0"/>
        <v>0.25</v>
      </c>
      <c r="Q3" s="4">
        <f t="shared" si="1"/>
        <v>25</v>
      </c>
      <c r="R3" s="2"/>
    </row>
    <row r="4" spans="1:18" x14ac:dyDescent="0.35">
      <c r="A4" s="5">
        <v>46327</v>
      </c>
      <c r="B4" s="2"/>
      <c r="C4" s="2"/>
      <c r="D4" s="2">
        <v>50</v>
      </c>
      <c r="E4" s="2">
        <v>1</v>
      </c>
      <c r="F4" s="2">
        <v>24</v>
      </c>
      <c r="G4" s="2"/>
      <c r="H4" s="2"/>
      <c r="I4" s="2">
        <v>10</v>
      </c>
      <c r="J4" s="2"/>
      <c r="K4" s="2"/>
      <c r="L4" s="2"/>
      <c r="M4" s="2"/>
      <c r="N4" s="2"/>
      <c r="O4" s="2"/>
      <c r="P4" s="3">
        <f t="shared" si="0"/>
        <v>0.25</v>
      </c>
      <c r="Q4" s="4">
        <f t="shared" si="1"/>
        <v>25</v>
      </c>
      <c r="R4" s="2"/>
    </row>
    <row r="5" spans="1:18" x14ac:dyDescent="0.35">
      <c r="A5" s="5">
        <v>46357</v>
      </c>
      <c r="B5" s="2"/>
      <c r="C5" s="2"/>
      <c r="D5" s="2">
        <v>50</v>
      </c>
      <c r="E5" s="2">
        <v>1</v>
      </c>
      <c r="F5" s="2">
        <v>24</v>
      </c>
      <c r="G5" s="2"/>
      <c r="H5" s="2"/>
      <c r="I5" s="2">
        <v>10</v>
      </c>
      <c r="J5" s="2"/>
      <c r="K5" s="2"/>
      <c r="L5" s="2"/>
      <c r="M5" s="2"/>
      <c r="N5" s="2"/>
      <c r="O5" s="2"/>
      <c r="P5" s="3">
        <f t="shared" si="0"/>
        <v>0.25</v>
      </c>
      <c r="Q5" s="4">
        <f t="shared" si="1"/>
        <v>25</v>
      </c>
      <c r="R5" s="2"/>
    </row>
    <row r="6" spans="1:18" x14ac:dyDescent="0.35">
      <c r="A6" s="5">
        <v>46388</v>
      </c>
      <c r="B6" s="2"/>
      <c r="C6" s="2"/>
      <c r="D6" s="2">
        <v>50</v>
      </c>
      <c r="E6" s="2">
        <v>1</v>
      </c>
      <c r="F6" s="2">
        <v>24</v>
      </c>
      <c r="G6" s="2"/>
      <c r="H6" s="2"/>
      <c r="I6" s="2">
        <v>10</v>
      </c>
      <c r="J6" s="2"/>
      <c r="K6" s="2"/>
      <c r="L6" s="2"/>
      <c r="M6" s="2"/>
      <c r="N6" s="2"/>
      <c r="O6" s="2"/>
      <c r="P6" s="3">
        <f t="shared" si="0"/>
        <v>0.25</v>
      </c>
      <c r="Q6" s="4">
        <f t="shared" si="1"/>
        <v>25</v>
      </c>
      <c r="R6" s="2"/>
    </row>
    <row r="7" spans="1:18" x14ac:dyDescent="0.35">
      <c r="A7" s="5">
        <v>46419</v>
      </c>
      <c r="B7" s="2"/>
      <c r="C7" s="2"/>
      <c r="D7" s="2">
        <v>50</v>
      </c>
      <c r="E7" s="2">
        <v>1</v>
      </c>
      <c r="F7" s="2">
        <v>24</v>
      </c>
      <c r="G7" s="2"/>
      <c r="H7" s="2"/>
      <c r="I7" s="2">
        <v>10</v>
      </c>
      <c r="J7" s="2"/>
      <c r="K7" s="2"/>
      <c r="L7" s="2"/>
      <c r="M7" s="2"/>
      <c r="N7" s="2"/>
      <c r="O7" s="2"/>
      <c r="P7" s="3">
        <f t="shared" si="0"/>
        <v>0.25</v>
      </c>
      <c r="Q7" s="4">
        <f t="shared" si="1"/>
        <v>25</v>
      </c>
      <c r="R7" s="2"/>
    </row>
    <row r="8" spans="1:18" x14ac:dyDescent="0.35">
      <c r="A8" s="5">
        <v>46447</v>
      </c>
      <c r="B8" s="2"/>
      <c r="C8" s="2"/>
      <c r="D8" s="2">
        <v>50</v>
      </c>
      <c r="E8" s="2">
        <v>1</v>
      </c>
      <c r="F8" s="2">
        <v>24</v>
      </c>
      <c r="G8" s="2"/>
      <c r="H8" s="2"/>
      <c r="I8" s="2">
        <v>10</v>
      </c>
      <c r="J8" s="2"/>
      <c r="K8" s="2"/>
      <c r="L8" s="2"/>
      <c r="M8" s="2"/>
      <c r="N8" s="2"/>
      <c r="O8" s="2"/>
      <c r="P8" s="3">
        <f t="shared" si="0"/>
        <v>0.25</v>
      </c>
      <c r="Q8" s="4">
        <f t="shared" si="1"/>
        <v>25</v>
      </c>
      <c r="R8" s="2"/>
    </row>
    <row r="9" spans="1:18" x14ac:dyDescent="0.35">
      <c r="A9" s="5">
        <v>46478</v>
      </c>
      <c r="B9" s="2"/>
      <c r="C9" s="2"/>
      <c r="D9" s="2">
        <v>50</v>
      </c>
      <c r="E9" s="2">
        <v>1</v>
      </c>
      <c r="F9" s="2">
        <v>24</v>
      </c>
      <c r="G9" s="2"/>
      <c r="H9" s="2"/>
      <c r="I9" s="2">
        <v>10</v>
      </c>
      <c r="J9" s="2"/>
      <c r="K9" s="2"/>
      <c r="L9" s="2"/>
      <c r="M9" s="2"/>
      <c r="N9" s="2"/>
      <c r="O9" s="2"/>
      <c r="P9" s="3">
        <f t="shared" si="0"/>
        <v>0.25</v>
      </c>
      <c r="Q9" s="4">
        <f t="shared" si="1"/>
        <v>25</v>
      </c>
      <c r="R9" s="2"/>
    </row>
    <row r="10" spans="1:18" x14ac:dyDescent="0.35">
      <c r="A10" s="5">
        <v>46508</v>
      </c>
      <c r="B10" s="2"/>
      <c r="C10" s="2"/>
      <c r="D10" s="2">
        <v>50</v>
      </c>
      <c r="E10" s="2">
        <v>1</v>
      </c>
      <c r="F10" s="2">
        <v>24</v>
      </c>
      <c r="G10" s="2"/>
      <c r="H10" s="2"/>
      <c r="I10" s="2">
        <v>10</v>
      </c>
      <c r="J10" s="2"/>
      <c r="K10" s="2"/>
      <c r="L10" s="2"/>
      <c r="M10" s="2"/>
      <c r="N10" s="2"/>
      <c r="O10" s="2"/>
      <c r="P10" s="3">
        <f t="shared" si="0"/>
        <v>0.25</v>
      </c>
      <c r="Q10" s="4">
        <f t="shared" si="1"/>
        <v>25</v>
      </c>
      <c r="R10" s="2"/>
    </row>
    <row r="11" spans="1:18" x14ac:dyDescent="0.35">
      <c r="A11" s="5">
        <v>46539</v>
      </c>
      <c r="B11" s="2"/>
      <c r="C11" s="2"/>
      <c r="D11" s="2">
        <v>50</v>
      </c>
      <c r="E11" s="2">
        <v>1</v>
      </c>
      <c r="F11" s="2">
        <v>24</v>
      </c>
      <c r="G11" s="2"/>
      <c r="H11" s="2"/>
      <c r="I11" s="2">
        <v>10</v>
      </c>
      <c r="J11" s="2"/>
      <c r="K11" s="2"/>
      <c r="L11" s="2"/>
      <c r="M11" s="2"/>
      <c r="N11" s="2"/>
      <c r="O11" s="2"/>
      <c r="P11" s="3">
        <f t="shared" si="0"/>
        <v>0.25</v>
      </c>
      <c r="Q11" s="4">
        <f t="shared" si="1"/>
        <v>25</v>
      </c>
      <c r="R11" s="2"/>
    </row>
    <row r="12" spans="1:18" x14ac:dyDescent="0.35">
      <c r="A12" s="5">
        <v>46569</v>
      </c>
      <c r="B12" s="2"/>
      <c r="C12" s="2"/>
      <c r="D12" s="2">
        <v>50</v>
      </c>
      <c r="E12" s="2">
        <v>1</v>
      </c>
      <c r="F12" s="2">
        <v>24</v>
      </c>
      <c r="G12" s="2"/>
      <c r="H12" s="2"/>
      <c r="I12" s="2">
        <v>10</v>
      </c>
      <c r="J12" s="2"/>
      <c r="K12" s="2"/>
      <c r="L12" s="2"/>
      <c r="M12" s="2"/>
      <c r="N12" s="2"/>
      <c r="O12" s="2"/>
      <c r="P12" s="3">
        <f t="shared" si="0"/>
        <v>0.25</v>
      </c>
      <c r="Q12" s="4">
        <f t="shared" si="1"/>
        <v>25</v>
      </c>
      <c r="R12" s="2"/>
    </row>
    <row r="13" spans="1:18" x14ac:dyDescent="0.35">
      <c r="A13" s="5">
        <v>46600</v>
      </c>
      <c r="B13" s="2"/>
      <c r="C13" s="2"/>
      <c r="D13" s="2">
        <v>50</v>
      </c>
      <c r="E13" s="2">
        <v>1</v>
      </c>
      <c r="F13" s="2">
        <v>24</v>
      </c>
      <c r="G13" s="2"/>
      <c r="H13" s="2"/>
      <c r="I13" s="2">
        <v>10</v>
      </c>
      <c r="J13" s="2"/>
      <c r="K13" s="2"/>
      <c r="L13" s="2"/>
      <c r="M13" s="2"/>
      <c r="N13" s="2"/>
      <c r="O13" s="2"/>
      <c r="P13" s="3">
        <f t="shared" si="0"/>
        <v>0.25</v>
      </c>
      <c r="Q13" s="4">
        <f t="shared" si="1"/>
        <v>25</v>
      </c>
      <c r="R13" s="2"/>
    </row>
  </sheetData>
  <autoFilter ref="A1:R13" xr:uid="{00000000-0009-0000-0000-000003000000}"/>
  <conditionalFormatting sqref="P2:P13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defaultRowHeight="14.5" x14ac:dyDescent="0.35"/>
  <cols>
    <col min="1" max="1" width="100" customWidth="1"/>
  </cols>
  <sheetData>
    <row r="1" spans="1:1" ht="23.5" x14ac:dyDescent="0.55000000000000004">
      <c r="A1" s="6" t="s">
        <v>115</v>
      </c>
    </row>
    <row r="3" spans="1:1" x14ac:dyDescent="0.35">
      <c r="A3" s="7" t="s">
        <v>116</v>
      </c>
    </row>
    <row r="4" spans="1:1" x14ac:dyDescent="0.35">
      <c r="A4" s="7" t="s">
        <v>117</v>
      </c>
    </row>
    <row r="5" spans="1:1" x14ac:dyDescent="0.35">
      <c r="A5" s="7" t="s">
        <v>118</v>
      </c>
    </row>
    <row r="6" spans="1:1" x14ac:dyDescent="0.35">
      <c r="A6" s="7" t="s">
        <v>119</v>
      </c>
    </row>
    <row r="7" spans="1:1" x14ac:dyDescent="0.35">
      <c r="A7" s="7" t="s">
        <v>120</v>
      </c>
    </row>
    <row r="8" spans="1:1" x14ac:dyDescent="0.35">
      <c r="A8" s="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Daily Tracker</vt:lpstr>
      <vt:lpstr>Weekly Review</vt:lpstr>
      <vt:lpstr>Monthly Goals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Shuvadeep Maity</cp:lastModifiedBy>
  <cp:lastPrinted>2026-08-17T03:25:10Z</cp:lastPrinted>
  <dcterms:created xsi:type="dcterms:W3CDTF">2026-08-16T15:25:02Z</dcterms:created>
  <dcterms:modified xsi:type="dcterms:W3CDTF">2026-08-20T15:19:22Z</dcterms:modified>
</cp:coreProperties>
</file>